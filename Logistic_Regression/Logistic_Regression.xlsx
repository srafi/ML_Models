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Books\AI\Practice\PDF\Karim\EXCEL\"/>
    </mc:Choice>
  </mc:AlternateContent>
  <xr:revisionPtr revIDLastSave="0" documentId="13_ncr:1_{1C315E6C-FA5D-4386-91FF-170B90759184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Logistic_Regression" sheetId="1" r:id="rId1"/>
    <sheet name="calculate_coefficients" sheetId="2" r:id="rId2"/>
  </sheets>
  <definedNames>
    <definedName name="_xlnm._FilterDatabase" localSheetId="0" hidden="1">Logistic_Regression!#REF!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2" i="1"/>
  <c r="L28" i="2" a="1"/>
  <c r="L28" i="2"/>
  <c r="L29" i="2"/>
  <c r="L30" i="2"/>
  <c r="L31" i="2"/>
  <c r="L32" i="2"/>
  <c r="L33" i="2"/>
  <c r="L34" i="2"/>
  <c r="L35" i="2"/>
  <c r="K19" i="2" a="1"/>
  <c r="K19" i="2" s="1"/>
  <c r="S19" i="2" a="1"/>
  <c r="S19" i="2" s="1"/>
  <c r="R26" i="2" l="1"/>
  <c r="N26" i="2"/>
  <c r="R25" i="2"/>
  <c r="N25" i="2"/>
  <c r="R24" i="2"/>
  <c r="N24" i="2"/>
  <c r="R23" i="2"/>
  <c r="N23" i="2"/>
  <c r="R22" i="2"/>
  <c r="N22" i="2"/>
  <c r="R21" i="2"/>
  <c r="N21" i="2"/>
  <c r="R20" i="2"/>
  <c r="N20" i="2"/>
  <c r="R19" i="2"/>
  <c r="N19" i="2"/>
  <c r="Q26" i="2"/>
  <c r="M26" i="2"/>
  <c r="Q25" i="2"/>
  <c r="M25" i="2"/>
  <c r="Q24" i="2"/>
  <c r="M24" i="2"/>
  <c r="Q23" i="2"/>
  <c r="M23" i="2"/>
  <c r="Q22" i="2"/>
  <c r="M22" i="2"/>
  <c r="Q21" i="2"/>
  <c r="M21" i="2"/>
  <c r="Q20" i="2"/>
  <c r="M20" i="2"/>
  <c r="M19" i="2"/>
  <c r="P26" i="2"/>
  <c r="L26" i="2"/>
  <c r="P25" i="2"/>
  <c r="L25" i="2"/>
  <c r="P24" i="2"/>
  <c r="L24" i="2"/>
  <c r="P23" i="2"/>
  <c r="L23" i="2"/>
  <c r="P22" i="2"/>
  <c r="L22" i="2"/>
  <c r="P21" i="2"/>
  <c r="L21" i="2"/>
  <c r="P20" i="2"/>
  <c r="L20" i="2"/>
  <c r="P19" i="2"/>
  <c r="L19" i="2"/>
  <c r="Q19" i="2"/>
  <c r="O26" i="2"/>
  <c r="K26" i="2"/>
  <c r="O25" i="2"/>
  <c r="K25" i="2"/>
  <c r="O24" i="2"/>
  <c r="K24" i="2"/>
  <c r="O23" i="2"/>
  <c r="K23" i="2"/>
  <c r="O22" i="2"/>
  <c r="K22" i="2"/>
  <c r="O21" i="2"/>
  <c r="K21" i="2"/>
  <c r="O20" i="2"/>
  <c r="K20" i="2"/>
  <c r="O19" i="2"/>
  <c r="S26" i="2"/>
  <c r="S21" i="2"/>
  <c r="S24" i="2"/>
  <c r="S20" i="2"/>
  <c r="S22" i="2"/>
  <c r="S25" i="2"/>
  <c r="S23" i="2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2" i="1"/>
  <c r="K7" i="1"/>
  <c r="L7" i="1" s="1"/>
  <c r="M7" i="1" s="1"/>
  <c r="K8" i="1"/>
  <c r="L8" i="1" s="1"/>
  <c r="M8" i="1" s="1"/>
  <c r="K9" i="1"/>
  <c r="L9" i="1" s="1"/>
  <c r="M9" i="1" s="1"/>
  <c r="K10" i="1"/>
  <c r="L10" i="1" s="1"/>
  <c r="M10" i="1" s="1"/>
  <c r="K11" i="1"/>
  <c r="L11" i="1" s="1"/>
  <c r="M11" i="1" s="1"/>
  <c r="K12" i="1"/>
  <c r="L12" i="1" s="1"/>
  <c r="M12" i="1" s="1"/>
  <c r="K13" i="1"/>
  <c r="L13" i="1" s="1"/>
  <c r="M13" i="1" s="1"/>
  <c r="K14" i="1"/>
  <c r="L14" i="1" s="1"/>
  <c r="M14" i="1" s="1"/>
  <c r="N14" i="1" s="1"/>
  <c r="K15" i="1"/>
  <c r="L15" i="1" s="1"/>
  <c r="M15" i="1" s="1"/>
  <c r="K16" i="1"/>
  <c r="L16" i="1" s="1"/>
  <c r="M16" i="1" s="1"/>
  <c r="K17" i="1"/>
  <c r="L17" i="1" s="1"/>
  <c r="M17" i="1" s="1"/>
  <c r="K18" i="1"/>
  <c r="L18" i="1" s="1"/>
  <c r="M18" i="1" s="1"/>
  <c r="K19" i="1"/>
  <c r="L19" i="1" s="1"/>
  <c r="M19" i="1" s="1"/>
  <c r="K20" i="1"/>
  <c r="L20" i="1" s="1"/>
  <c r="M20" i="1" s="1"/>
  <c r="K21" i="1"/>
  <c r="L21" i="1" s="1"/>
  <c r="M21" i="1" s="1"/>
  <c r="K22" i="1"/>
  <c r="L22" i="1" s="1"/>
  <c r="M22" i="1" s="1"/>
  <c r="K23" i="1"/>
  <c r="L23" i="1" s="1"/>
  <c r="M23" i="1" s="1"/>
  <c r="K24" i="1"/>
  <c r="L24" i="1" s="1"/>
  <c r="M24" i="1" s="1"/>
  <c r="K25" i="1"/>
  <c r="L25" i="1" s="1"/>
  <c r="M25" i="1" s="1"/>
  <c r="K26" i="1"/>
  <c r="L26" i="1" s="1"/>
  <c r="M26" i="1" s="1"/>
  <c r="K27" i="1"/>
  <c r="L27" i="1" s="1"/>
  <c r="M27" i="1" s="1"/>
  <c r="K28" i="1"/>
  <c r="L28" i="1" s="1"/>
  <c r="M28" i="1" s="1"/>
  <c r="K29" i="1"/>
  <c r="L29" i="1" s="1"/>
  <c r="M29" i="1" s="1"/>
  <c r="K30" i="1"/>
  <c r="L30" i="1" s="1"/>
  <c r="M30" i="1" s="1"/>
  <c r="N30" i="1" s="1"/>
  <c r="K31" i="1"/>
  <c r="L31" i="1" s="1"/>
  <c r="M31" i="1" s="1"/>
  <c r="K32" i="1"/>
  <c r="L32" i="1" s="1"/>
  <c r="M32" i="1" s="1"/>
  <c r="K33" i="1"/>
  <c r="L33" i="1" s="1"/>
  <c r="M33" i="1" s="1"/>
  <c r="K34" i="1"/>
  <c r="L34" i="1" s="1"/>
  <c r="M34" i="1" s="1"/>
  <c r="K35" i="1"/>
  <c r="L35" i="1" s="1"/>
  <c r="M35" i="1" s="1"/>
  <c r="K36" i="1"/>
  <c r="L36" i="1" s="1"/>
  <c r="M36" i="1" s="1"/>
  <c r="K37" i="1"/>
  <c r="L37" i="1" s="1"/>
  <c r="M37" i="1" s="1"/>
  <c r="N37" i="1" s="1"/>
  <c r="K38" i="1"/>
  <c r="L38" i="1" s="1"/>
  <c r="M38" i="1" s="1"/>
  <c r="K39" i="1"/>
  <c r="L39" i="1" s="1"/>
  <c r="M39" i="1" s="1"/>
  <c r="K40" i="1"/>
  <c r="L40" i="1" s="1"/>
  <c r="M40" i="1" s="1"/>
  <c r="K41" i="1"/>
  <c r="L41" i="1" s="1"/>
  <c r="M41" i="1" s="1"/>
  <c r="N41" i="1" s="1"/>
  <c r="K42" i="1"/>
  <c r="L42" i="1" s="1"/>
  <c r="M42" i="1" s="1"/>
  <c r="K43" i="1"/>
  <c r="L43" i="1" s="1"/>
  <c r="M43" i="1" s="1"/>
  <c r="K44" i="1"/>
  <c r="L44" i="1" s="1"/>
  <c r="M44" i="1" s="1"/>
  <c r="K45" i="1"/>
  <c r="L45" i="1" s="1"/>
  <c r="M45" i="1" s="1"/>
  <c r="N45" i="1" s="1"/>
  <c r="K46" i="1"/>
  <c r="L46" i="1" s="1"/>
  <c r="M46" i="1" s="1"/>
  <c r="K47" i="1"/>
  <c r="L47" i="1" s="1"/>
  <c r="M47" i="1" s="1"/>
  <c r="K48" i="1"/>
  <c r="L48" i="1" s="1"/>
  <c r="M48" i="1" s="1"/>
  <c r="K49" i="1"/>
  <c r="L49" i="1" s="1"/>
  <c r="M49" i="1" s="1"/>
  <c r="N49" i="1" s="1"/>
  <c r="K50" i="1"/>
  <c r="L50" i="1" s="1"/>
  <c r="M50" i="1" s="1"/>
  <c r="K51" i="1"/>
  <c r="L51" i="1" s="1"/>
  <c r="M51" i="1" s="1"/>
  <c r="K52" i="1"/>
  <c r="L52" i="1" s="1"/>
  <c r="M52" i="1" s="1"/>
  <c r="K53" i="1"/>
  <c r="L53" i="1" s="1"/>
  <c r="M53" i="1" s="1"/>
  <c r="N53" i="1" s="1"/>
  <c r="K54" i="1"/>
  <c r="L54" i="1" s="1"/>
  <c r="M54" i="1" s="1"/>
  <c r="K55" i="1"/>
  <c r="L55" i="1" s="1"/>
  <c r="M55" i="1" s="1"/>
  <c r="K56" i="1"/>
  <c r="L56" i="1" s="1"/>
  <c r="M56" i="1" s="1"/>
  <c r="K57" i="1"/>
  <c r="L57" i="1" s="1"/>
  <c r="M57" i="1" s="1"/>
  <c r="N57" i="1" s="1"/>
  <c r="K58" i="1"/>
  <c r="L58" i="1" s="1"/>
  <c r="M58" i="1" s="1"/>
  <c r="K59" i="1"/>
  <c r="L59" i="1" s="1"/>
  <c r="M59" i="1" s="1"/>
  <c r="K60" i="1"/>
  <c r="L60" i="1" s="1"/>
  <c r="M60" i="1" s="1"/>
  <c r="K61" i="1"/>
  <c r="L61" i="1" s="1"/>
  <c r="M61" i="1" s="1"/>
  <c r="N61" i="1" s="1"/>
  <c r="K62" i="1"/>
  <c r="L62" i="1" s="1"/>
  <c r="M62" i="1" s="1"/>
  <c r="K63" i="1"/>
  <c r="L63" i="1" s="1"/>
  <c r="M63" i="1" s="1"/>
  <c r="K64" i="1"/>
  <c r="L64" i="1" s="1"/>
  <c r="M64" i="1" s="1"/>
  <c r="K65" i="1"/>
  <c r="L65" i="1" s="1"/>
  <c r="M65" i="1" s="1"/>
  <c r="N65" i="1" s="1"/>
  <c r="K66" i="1"/>
  <c r="L66" i="1" s="1"/>
  <c r="M66" i="1" s="1"/>
  <c r="K67" i="1"/>
  <c r="L67" i="1" s="1"/>
  <c r="M67" i="1" s="1"/>
  <c r="K68" i="1"/>
  <c r="L68" i="1" s="1"/>
  <c r="M68" i="1" s="1"/>
  <c r="K69" i="1"/>
  <c r="L69" i="1" s="1"/>
  <c r="M69" i="1" s="1"/>
  <c r="N69" i="1" s="1"/>
  <c r="K70" i="1"/>
  <c r="L70" i="1" s="1"/>
  <c r="M70" i="1" s="1"/>
  <c r="K71" i="1"/>
  <c r="L71" i="1" s="1"/>
  <c r="M71" i="1" s="1"/>
  <c r="K72" i="1"/>
  <c r="L72" i="1" s="1"/>
  <c r="M72" i="1" s="1"/>
  <c r="K73" i="1"/>
  <c r="L73" i="1" s="1"/>
  <c r="M73" i="1" s="1"/>
  <c r="N73" i="1" s="1"/>
  <c r="K74" i="1"/>
  <c r="L74" i="1" s="1"/>
  <c r="M74" i="1" s="1"/>
  <c r="K75" i="1"/>
  <c r="L75" i="1" s="1"/>
  <c r="M75" i="1" s="1"/>
  <c r="K76" i="1"/>
  <c r="L76" i="1" s="1"/>
  <c r="M76" i="1" s="1"/>
  <c r="K77" i="1"/>
  <c r="L77" i="1" s="1"/>
  <c r="M77" i="1" s="1"/>
  <c r="N77" i="1" s="1"/>
  <c r="K78" i="1"/>
  <c r="L78" i="1" s="1"/>
  <c r="M78" i="1" s="1"/>
  <c r="K79" i="1"/>
  <c r="L79" i="1" s="1"/>
  <c r="M79" i="1" s="1"/>
  <c r="K80" i="1"/>
  <c r="L80" i="1" s="1"/>
  <c r="M80" i="1" s="1"/>
  <c r="K81" i="1"/>
  <c r="L81" i="1" s="1"/>
  <c r="M81" i="1" s="1"/>
  <c r="N81" i="1" s="1"/>
  <c r="K82" i="1"/>
  <c r="L82" i="1" s="1"/>
  <c r="M82" i="1" s="1"/>
  <c r="K83" i="1"/>
  <c r="L83" i="1" s="1"/>
  <c r="M83" i="1" s="1"/>
  <c r="K84" i="1"/>
  <c r="L84" i="1" s="1"/>
  <c r="M84" i="1" s="1"/>
  <c r="K85" i="1"/>
  <c r="L85" i="1" s="1"/>
  <c r="M85" i="1" s="1"/>
  <c r="N85" i="1" s="1"/>
  <c r="K86" i="1"/>
  <c r="L86" i="1" s="1"/>
  <c r="M86" i="1" s="1"/>
  <c r="K87" i="1"/>
  <c r="L87" i="1" s="1"/>
  <c r="M87" i="1" s="1"/>
  <c r="K88" i="1"/>
  <c r="L88" i="1" s="1"/>
  <c r="M88" i="1" s="1"/>
  <c r="K89" i="1"/>
  <c r="L89" i="1" s="1"/>
  <c r="M89" i="1" s="1"/>
  <c r="N89" i="1" s="1"/>
  <c r="K90" i="1"/>
  <c r="L90" i="1" s="1"/>
  <c r="M90" i="1" s="1"/>
  <c r="K91" i="1"/>
  <c r="L91" i="1" s="1"/>
  <c r="M91" i="1" s="1"/>
  <c r="K92" i="1"/>
  <c r="L92" i="1" s="1"/>
  <c r="M92" i="1" s="1"/>
  <c r="K93" i="1"/>
  <c r="L93" i="1" s="1"/>
  <c r="M93" i="1" s="1"/>
  <c r="N93" i="1" s="1"/>
  <c r="K94" i="1"/>
  <c r="L94" i="1" s="1"/>
  <c r="M94" i="1" s="1"/>
  <c r="K95" i="1"/>
  <c r="L95" i="1" s="1"/>
  <c r="M95" i="1" s="1"/>
  <c r="K96" i="1"/>
  <c r="L96" i="1" s="1"/>
  <c r="M96" i="1" s="1"/>
  <c r="K97" i="1"/>
  <c r="L97" i="1" s="1"/>
  <c r="M97" i="1" s="1"/>
  <c r="N97" i="1" s="1"/>
  <c r="K98" i="1"/>
  <c r="L98" i="1" s="1"/>
  <c r="M98" i="1" s="1"/>
  <c r="K99" i="1"/>
  <c r="L99" i="1" s="1"/>
  <c r="M99" i="1" s="1"/>
  <c r="K100" i="1"/>
  <c r="L100" i="1" s="1"/>
  <c r="M100" i="1" s="1"/>
  <c r="K101" i="1"/>
  <c r="L101" i="1" s="1"/>
  <c r="M101" i="1" s="1"/>
  <c r="N101" i="1" s="1"/>
  <c r="K102" i="1"/>
  <c r="L102" i="1" s="1"/>
  <c r="M102" i="1" s="1"/>
  <c r="K103" i="1"/>
  <c r="L103" i="1" s="1"/>
  <c r="M103" i="1" s="1"/>
  <c r="K104" i="1"/>
  <c r="L104" i="1" s="1"/>
  <c r="M104" i="1" s="1"/>
  <c r="K105" i="1"/>
  <c r="L105" i="1" s="1"/>
  <c r="M105" i="1" s="1"/>
  <c r="N105" i="1" s="1"/>
  <c r="K106" i="1"/>
  <c r="L106" i="1" s="1"/>
  <c r="M106" i="1" s="1"/>
  <c r="K107" i="1"/>
  <c r="L107" i="1" s="1"/>
  <c r="M107" i="1" s="1"/>
  <c r="K108" i="1"/>
  <c r="L108" i="1" s="1"/>
  <c r="M108" i="1" s="1"/>
  <c r="K109" i="1"/>
  <c r="L109" i="1" s="1"/>
  <c r="M109" i="1" s="1"/>
  <c r="N109" i="1" s="1"/>
  <c r="K110" i="1"/>
  <c r="L110" i="1" s="1"/>
  <c r="M110" i="1" s="1"/>
  <c r="K111" i="1"/>
  <c r="L111" i="1" s="1"/>
  <c r="M111" i="1" s="1"/>
  <c r="K112" i="1"/>
  <c r="L112" i="1" s="1"/>
  <c r="M112" i="1" s="1"/>
  <c r="K113" i="1"/>
  <c r="L113" i="1" s="1"/>
  <c r="M113" i="1" s="1"/>
  <c r="N113" i="1" s="1"/>
  <c r="K114" i="1"/>
  <c r="L114" i="1" s="1"/>
  <c r="M114" i="1" s="1"/>
  <c r="K115" i="1"/>
  <c r="L115" i="1" s="1"/>
  <c r="M115" i="1" s="1"/>
  <c r="K116" i="1"/>
  <c r="L116" i="1" s="1"/>
  <c r="M116" i="1" s="1"/>
  <c r="K117" i="1"/>
  <c r="L117" i="1" s="1"/>
  <c r="M117" i="1" s="1"/>
  <c r="N117" i="1" s="1"/>
  <c r="K118" i="1"/>
  <c r="L118" i="1" s="1"/>
  <c r="M118" i="1" s="1"/>
  <c r="K119" i="1"/>
  <c r="L119" i="1" s="1"/>
  <c r="M119" i="1" s="1"/>
  <c r="K120" i="1"/>
  <c r="L120" i="1" s="1"/>
  <c r="M120" i="1" s="1"/>
  <c r="K121" i="1"/>
  <c r="L121" i="1" s="1"/>
  <c r="M121" i="1" s="1"/>
  <c r="N121" i="1" s="1"/>
  <c r="K122" i="1"/>
  <c r="L122" i="1" s="1"/>
  <c r="M122" i="1" s="1"/>
  <c r="K123" i="1"/>
  <c r="L123" i="1" s="1"/>
  <c r="M123" i="1" s="1"/>
  <c r="K124" i="1"/>
  <c r="L124" i="1" s="1"/>
  <c r="M124" i="1" s="1"/>
  <c r="K125" i="1"/>
  <c r="L125" i="1" s="1"/>
  <c r="M125" i="1" s="1"/>
  <c r="N125" i="1" s="1"/>
  <c r="K126" i="1"/>
  <c r="L126" i="1" s="1"/>
  <c r="M126" i="1" s="1"/>
  <c r="K127" i="1"/>
  <c r="L127" i="1" s="1"/>
  <c r="M127" i="1" s="1"/>
  <c r="K128" i="1"/>
  <c r="L128" i="1" s="1"/>
  <c r="M128" i="1" s="1"/>
  <c r="K129" i="1"/>
  <c r="L129" i="1" s="1"/>
  <c r="M129" i="1" s="1"/>
  <c r="N129" i="1" s="1"/>
  <c r="K130" i="1"/>
  <c r="L130" i="1" s="1"/>
  <c r="M130" i="1" s="1"/>
  <c r="K131" i="1"/>
  <c r="L131" i="1" s="1"/>
  <c r="M131" i="1" s="1"/>
  <c r="K132" i="1"/>
  <c r="L132" i="1" s="1"/>
  <c r="M132" i="1" s="1"/>
  <c r="K133" i="1"/>
  <c r="L133" i="1" s="1"/>
  <c r="M133" i="1" s="1"/>
  <c r="N133" i="1" s="1"/>
  <c r="K134" i="1"/>
  <c r="L134" i="1" s="1"/>
  <c r="M134" i="1" s="1"/>
  <c r="K135" i="1"/>
  <c r="L135" i="1" s="1"/>
  <c r="M135" i="1" s="1"/>
  <c r="K136" i="1"/>
  <c r="L136" i="1" s="1"/>
  <c r="M136" i="1" s="1"/>
  <c r="K137" i="1"/>
  <c r="L137" i="1" s="1"/>
  <c r="M137" i="1" s="1"/>
  <c r="N137" i="1" s="1"/>
  <c r="K138" i="1"/>
  <c r="L138" i="1" s="1"/>
  <c r="M138" i="1" s="1"/>
  <c r="K139" i="1"/>
  <c r="L139" i="1" s="1"/>
  <c r="M139" i="1" s="1"/>
  <c r="K140" i="1"/>
  <c r="L140" i="1" s="1"/>
  <c r="M140" i="1" s="1"/>
  <c r="K141" i="1"/>
  <c r="L141" i="1" s="1"/>
  <c r="M141" i="1" s="1"/>
  <c r="N141" i="1" s="1"/>
  <c r="K142" i="1"/>
  <c r="L142" i="1" s="1"/>
  <c r="M142" i="1" s="1"/>
  <c r="K143" i="1"/>
  <c r="L143" i="1" s="1"/>
  <c r="M143" i="1" s="1"/>
  <c r="K144" i="1"/>
  <c r="L144" i="1" s="1"/>
  <c r="M144" i="1" s="1"/>
  <c r="K145" i="1"/>
  <c r="L145" i="1" s="1"/>
  <c r="M145" i="1" s="1"/>
  <c r="N145" i="1" s="1"/>
  <c r="K146" i="1"/>
  <c r="L146" i="1" s="1"/>
  <c r="M146" i="1" s="1"/>
  <c r="K147" i="1"/>
  <c r="L147" i="1" s="1"/>
  <c r="M147" i="1" s="1"/>
  <c r="K148" i="1"/>
  <c r="L148" i="1" s="1"/>
  <c r="M148" i="1" s="1"/>
  <c r="K149" i="1"/>
  <c r="L149" i="1" s="1"/>
  <c r="M149" i="1" s="1"/>
  <c r="N149" i="1" s="1"/>
  <c r="K150" i="1"/>
  <c r="L150" i="1" s="1"/>
  <c r="M150" i="1" s="1"/>
  <c r="K151" i="1"/>
  <c r="L151" i="1" s="1"/>
  <c r="M151" i="1" s="1"/>
  <c r="K152" i="1"/>
  <c r="L152" i="1" s="1"/>
  <c r="M152" i="1" s="1"/>
  <c r="K153" i="1"/>
  <c r="L153" i="1" s="1"/>
  <c r="M153" i="1" s="1"/>
  <c r="N153" i="1" s="1"/>
  <c r="K154" i="1"/>
  <c r="L154" i="1" s="1"/>
  <c r="M154" i="1" s="1"/>
  <c r="K155" i="1"/>
  <c r="L155" i="1" s="1"/>
  <c r="M155" i="1" s="1"/>
  <c r="K156" i="1"/>
  <c r="L156" i="1" s="1"/>
  <c r="M156" i="1" s="1"/>
  <c r="K157" i="1"/>
  <c r="L157" i="1" s="1"/>
  <c r="M157" i="1" s="1"/>
  <c r="N157" i="1" s="1"/>
  <c r="K158" i="1"/>
  <c r="L158" i="1" s="1"/>
  <c r="M158" i="1" s="1"/>
  <c r="K159" i="1"/>
  <c r="L159" i="1" s="1"/>
  <c r="M159" i="1" s="1"/>
  <c r="K160" i="1"/>
  <c r="L160" i="1" s="1"/>
  <c r="M160" i="1" s="1"/>
  <c r="K161" i="1"/>
  <c r="L161" i="1" s="1"/>
  <c r="M161" i="1" s="1"/>
  <c r="N161" i="1" s="1"/>
  <c r="K162" i="1"/>
  <c r="L162" i="1" s="1"/>
  <c r="M162" i="1" s="1"/>
  <c r="K163" i="1"/>
  <c r="L163" i="1" s="1"/>
  <c r="M163" i="1" s="1"/>
  <c r="K164" i="1"/>
  <c r="L164" i="1" s="1"/>
  <c r="M164" i="1" s="1"/>
  <c r="K165" i="1"/>
  <c r="L165" i="1" s="1"/>
  <c r="M165" i="1" s="1"/>
  <c r="N165" i="1" s="1"/>
  <c r="K166" i="1"/>
  <c r="L166" i="1" s="1"/>
  <c r="M166" i="1" s="1"/>
  <c r="K167" i="1"/>
  <c r="L167" i="1" s="1"/>
  <c r="M167" i="1" s="1"/>
  <c r="K168" i="1"/>
  <c r="L168" i="1" s="1"/>
  <c r="M168" i="1" s="1"/>
  <c r="K169" i="1"/>
  <c r="L169" i="1" s="1"/>
  <c r="M169" i="1" s="1"/>
  <c r="N169" i="1" s="1"/>
  <c r="K170" i="1"/>
  <c r="L170" i="1" s="1"/>
  <c r="M170" i="1" s="1"/>
  <c r="K171" i="1"/>
  <c r="L171" i="1" s="1"/>
  <c r="M171" i="1" s="1"/>
  <c r="K172" i="1"/>
  <c r="L172" i="1" s="1"/>
  <c r="M172" i="1" s="1"/>
  <c r="K173" i="1"/>
  <c r="L173" i="1" s="1"/>
  <c r="M173" i="1" s="1"/>
  <c r="N173" i="1" s="1"/>
  <c r="K174" i="1"/>
  <c r="L174" i="1" s="1"/>
  <c r="M174" i="1" s="1"/>
  <c r="K175" i="1"/>
  <c r="L175" i="1" s="1"/>
  <c r="M175" i="1" s="1"/>
  <c r="K176" i="1"/>
  <c r="L176" i="1" s="1"/>
  <c r="M176" i="1" s="1"/>
  <c r="K177" i="1"/>
  <c r="L177" i="1" s="1"/>
  <c r="M177" i="1" s="1"/>
  <c r="N177" i="1" s="1"/>
  <c r="K178" i="1"/>
  <c r="L178" i="1" s="1"/>
  <c r="M178" i="1" s="1"/>
  <c r="K179" i="1"/>
  <c r="L179" i="1" s="1"/>
  <c r="M179" i="1" s="1"/>
  <c r="K180" i="1"/>
  <c r="L180" i="1" s="1"/>
  <c r="M180" i="1" s="1"/>
  <c r="K181" i="1"/>
  <c r="L181" i="1" s="1"/>
  <c r="M181" i="1" s="1"/>
  <c r="N181" i="1" s="1"/>
  <c r="K182" i="1"/>
  <c r="L182" i="1" s="1"/>
  <c r="M182" i="1" s="1"/>
  <c r="K183" i="1"/>
  <c r="L183" i="1" s="1"/>
  <c r="M183" i="1" s="1"/>
  <c r="K184" i="1"/>
  <c r="L184" i="1" s="1"/>
  <c r="M184" i="1" s="1"/>
  <c r="K185" i="1"/>
  <c r="L185" i="1" s="1"/>
  <c r="M185" i="1" s="1"/>
  <c r="N185" i="1" s="1"/>
  <c r="K186" i="1"/>
  <c r="L186" i="1" s="1"/>
  <c r="M186" i="1" s="1"/>
  <c r="K187" i="1"/>
  <c r="L187" i="1" s="1"/>
  <c r="M187" i="1" s="1"/>
  <c r="K188" i="1"/>
  <c r="L188" i="1" s="1"/>
  <c r="M188" i="1" s="1"/>
  <c r="K189" i="1"/>
  <c r="L189" i="1" s="1"/>
  <c r="M189" i="1" s="1"/>
  <c r="N189" i="1" s="1"/>
  <c r="K190" i="1"/>
  <c r="L190" i="1" s="1"/>
  <c r="M190" i="1" s="1"/>
  <c r="K191" i="1"/>
  <c r="L191" i="1" s="1"/>
  <c r="M191" i="1" s="1"/>
  <c r="K192" i="1"/>
  <c r="L192" i="1" s="1"/>
  <c r="M192" i="1" s="1"/>
  <c r="K193" i="1"/>
  <c r="L193" i="1" s="1"/>
  <c r="M193" i="1" s="1"/>
  <c r="N193" i="1" s="1"/>
  <c r="K194" i="1"/>
  <c r="L194" i="1" s="1"/>
  <c r="M194" i="1" s="1"/>
  <c r="K195" i="1"/>
  <c r="L195" i="1" s="1"/>
  <c r="M195" i="1" s="1"/>
  <c r="K196" i="1"/>
  <c r="L196" i="1" s="1"/>
  <c r="M196" i="1" s="1"/>
  <c r="K197" i="1"/>
  <c r="L197" i="1" s="1"/>
  <c r="M197" i="1" s="1"/>
  <c r="N197" i="1" s="1"/>
  <c r="K198" i="1"/>
  <c r="L198" i="1" s="1"/>
  <c r="M198" i="1" s="1"/>
  <c r="K199" i="1"/>
  <c r="L199" i="1" s="1"/>
  <c r="M199" i="1" s="1"/>
  <c r="K200" i="1"/>
  <c r="L200" i="1" s="1"/>
  <c r="M200" i="1" s="1"/>
  <c r="K201" i="1"/>
  <c r="L201" i="1" s="1"/>
  <c r="M201" i="1" s="1"/>
  <c r="N201" i="1" s="1"/>
  <c r="K202" i="1"/>
  <c r="L202" i="1" s="1"/>
  <c r="M202" i="1" s="1"/>
  <c r="K203" i="1"/>
  <c r="L203" i="1" s="1"/>
  <c r="M203" i="1" s="1"/>
  <c r="K204" i="1"/>
  <c r="L204" i="1" s="1"/>
  <c r="M204" i="1" s="1"/>
  <c r="K205" i="1"/>
  <c r="L205" i="1" s="1"/>
  <c r="M205" i="1" s="1"/>
  <c r="N205" i="1" s="1"/>
  <c r="K206" i="1"/>
  <c r="L206" i="1" s="1"/>
  <c r="M206" i="1" s="1"/>
  <c r="K207" i="1"/>
  <c r="L207" i="1" s="1"/>
  <c r="M207" i="1" s="1"/>
  <c r="K208" i="1"/>
  <c r="L208" i="1" s="1"/>
  <c r="M208" i="1" s="1"/>
  <c r="K209" i="1"/>
  <c r="L209" i="1" s="1"/>
  <c r="M209" i="1" s="1"/>
  <c r="N209" i="1" s="1"/>
  <c r="K210" i="1"/>
  <c r="L210" i="1" s="1"/>
  <c r="M210" i="1" s="1"/>
  <c r="K211" i="1"/>
  <c r="L211" i="1" s="1"/>
  <c r="M211" i="1" s="1"/>
  <c r="K212" i="1"/>
  <c r="L212" i="1" s="1"/>
  <c r="M212" i="1" s="1"/>
  <c r="K213" i="1"/>
  <c r="L213" i="1" s="1"/>
  <c r="M213" i="1" s="1"/>
  <c r="N213" i="1" s="1"/>
  <c r="K214" i="1"/>
  <c r="L214" i="1" s="1"/>
  <c r="M214" i="1" s="1"/>
  <c r="K215" i="1"/>
  <c r="L215" i="1" s="1"/>
  <c r="M215" i="1" s="1"/>
  <c r="K216" i="1"/>
  <c r="L216" i="1" s="1"/>
  <c r="M216" i="1" s="1"/>
  <c r="K217" i="1"/>
  <c r="L217" i="1" s="1"/>
  <c r="M217" i="1" s="1"/>
  <c r="N217" i="1" s="1"/>
  <c r="K218" i="1"/>
  <c r="L218" i="1" s="1"/>
  <c r="M218" i="1" s="1"/>
  <c r="K219" i="1"/>
  <c r="L219" i="1" s="1"/>
  <c r="M219" i="1" s="1"/>
  <c r="K220" i="1"/>
  <c r="L220" i="1" s="1"/>
  <c r="M220" i="1" s="1"/>
  <c r="K221" i="1"/>
  <c r="L221" i="1" s="1"/>
  <c r="M221" i="1" s="1"/>
  <c r="N221" i="1" s="1"/>
  <c r="K222" i="1"/>
  <c r="L222" i="1" s="1"/>
  <c r="M222" i="1" s="1"/>
  <c r="K223" i="1"/>
  <c r="L223" i="1" s="1"/>
  <c r="M223" i="1" s="1"/>
  <c r="K224" i="1"/>
  <c r="L224" i="1" s="1"/>
  <c r="M224" i="1" s="1"/>
  <c r="K225" i="1"/>
  <c r="L225" i="1" s="1"/>
  <c r="M225" i="1" s="1"/>
  <c r="N225" i="1" s="1"/>
  <c r="K226" i="1"/>
  <c r="L226" i="1" s="1"/>
  <c r="M226" i="1" s="1"/>
  <c r="K227" i="1"/>
  <c r="L227" i="1" s="1"/>
  <c r="M227" i="1" s="1"/>
  <c r="K228" i="1"/>
  <c r="L228" i="1" s="1"/>
  <c r="M228" i="1" s="1"/>
  <c r="K229" i="1"/>
  <c r="L229" i="1" s="1"/>
  <c r="M229" i="1" s="1"/>
  <c r="N229" i="1" s="1"/>
  <c r="K230" i="1"/>
  <c r="L230" i="1" s="1"/>
  <c r="M230" i="1" s="1"/>
  <c r="K231" i="1"/>
  <c r="L231" i="1" s="1"/>
  <c r="M231" i="1" s="1"/>
  <c r="K232" i="1"/>
  <c r="L232" i="1" s="1"/>
  <c r="M232" i="1" s="1"/>
  <c r="K233" i="1"/>
  <c r="L233" i="1" s="1"/>
  <c r="M233" i="1" s="1"/>
  <c r="N233" i="1" s="1"/>
  <c r="K234" i="1"/>
  <c r="L234" i="1" s="1"/>
  <c r="M234" i="1" s="1"/>
  <c r="K235" i="1"/>
  <c r="L235" i="1" s="1"/>
  <c r="M235" i="1" s="1"/>
  <c r="K236" i="1"/>
  <c r="L236" i="1" s="1"/>
  <c r="M236" i="1" s="1"/>
  <c r="K237" i="1"/>
  <c r="L237" i="1" s="1"/>
  <c r="M237" i="1" s="1"/>
  <c r="N237" i="1" s="1"/>
  <c r="K238" i="1"/>
  <c r="L238" i="1" s="1"/>
  <c r="M238" i="1" s="1"/>
  <c r="K239" i="1"/>
  <c r="L239" i="1" s="1"/>
  <c r="M239" i="1" s="1"/>
  <c r="K240" i="1"/>
  <c r="L240" i="1" s="1"/>
  <c r="M240" i="1" s="1"/>
  <c r="K241" i="1"/>
  <c r="L241" i="1" s="1"/>
  <c r="M241" i="1" s="1"/>
  <c r="N241" i="1" s="1"/>
  <c r="K242" i="1"/>
  <c r="L242" i="1" s="1"/>
  <c r="M242" i="1" s="1"/>
  <c r="K243" i="1"/>
  <c r="L243" i="1" s="1"/>
  <c r="M243" i="1" s="1"/>
  <c r="K244" i="1"/>
  <c r="L244" i="1" s="1"/>
  <c r="M244" i="1" s="1"/>
  <c r="K245" i="1"/>
  <c r="L245" i="1" s="1"/>
  <c r="M245" i="1" s="1"/>
  <c r="N245" i="1" s="1"/>
  <c r="K246" i="1"/>
  <c r="L246" i="1" s="1"/>
  <c r="M246" i="1" s="1"/>
  <c r="K247" i="1"/>
  <c r="L247" i="1" s="1"/>
  <c r="M247" i="1" s="1"/>
  <c r="K248" i="1"/>
  <c r="L248" i="1" s="1"/>
  <c r="M248" i="1" s="1"/>
  <c r="K249" i="1"/>
  <c r="L249" i="1" s="1"/>
  <c r="M249" i="1" s="1"/>
  <c r="N249" i="1" s="1"/>
  <c r="K250" i="1"/>
  <c r="L250" i="1" s="1"/>
  <c r="M250" i="1" s="1"/>
  <c r="K251" i="1"/>
  <c r="L251" i="1" s="1"/>
  <c r="M251" i="1" s="1"/>
  <c r="K252" i="1"/>
  <c r="L252" i="1" s="1"/>
  <c r="M252" i="1" s="1"/>
  <c r="K253" i="1"/>
  <c r="L253" i="1" s="1"/>
  <c r="M253" i="1" s="1"/>
  <c r="N253" i="1" s="1"/>
  <c r="K254" i="1"/>
  <c r="L254" i="1" s="1"/>
  <c r="M254" i="1" s="1"/>
  <c r="K255" i="1"/>
  <c r="L255" i="1" s="1"/>
  <c r="M255" i="1" s="1"/>
  <c r="K256" i="1"/>
  <c r="L256" i="1" s="1"/>
  <c r="M256" i="1" s="1"/>
  <c r="K257" i="1"/>
  <c r="L257" i="1" s="1"/>
  <c r="M257" i="1" s="1"/>
  <c r="N257" i="1" s="1"/>
  <c r="K258" i="1"/>
  <c r="L258" i="1" s="1"/>
  <c r="M258" i="1" s="1"/>
  <c r="K259" i="1"/>
  <c r="L259" i="1" s="1"/>
  <c r="M259" i="1" s="1"/>
  <c r="K260" i="1"/>
  <c r="L260" i="1" s="1"/>
  <c r="M260" i="1" s="1"/>
  <c r="K261" i="1"/>
  <c r="L261" i="1" s="1"/>
  <c r="M261" i="1" s="1"/>
  <c r="K262" i="1"/>
  <c r="L262" i="1" s="1"/>
  <c r="M262" i="1" s="1"/>
  <c r="K263" i="1"/>
  <c r="L263" i="1" s="1"/>
  <c r="M263" i="1" s="1"/>
  <c r="K264" i="1"/>
  <c r="L264" i="1" s="1"/>
  <c r="M264" i="1" s="1"/>
  <c r="K265" i="1"/>
  <c r="L265" i="1" s="1"/>
  <c r="M265" i="1" s="1"/>
  <c r="N265" i="1" s="1"/>
  <c r="K266" i="1"/>
  <c r="L266" i="1" s="1"/>
  <c r="M266" i="1" s="1"/>
  <c r="K267" i="1"/>
  <c r="L267" i="1" s="1"/>
  <c r="M267" i="1" s="1"/>
  <c r="K268" i="1"/>
  <c r="L268" i="1" s="1"/>
  <c r="M268" i="1" s="1"/>
  <c r="K269" i="1"/>
  <c r="L269" i="1" s="1"/>
  <c r="M269" i="1" s="1"/>
  <c r="K270" i="1"/>
  <c r="L270" i="1" s="1"/>
  <c r="M270" i="1" s="1"/>
  <c r="K271" i="1"/>
  <c r="L271" i="1" s="1"/>
  <c r="M271" i="1" s="1"/>
  <c r="K272" i="1"/>
  <c r="L272" i="1" s="1"/>
  <c r="M272" i="1" s="1"/>
  <c r="K273" i="1"/>
  <c r="L273" i="1" s="1"/>
  <c r="M273" i="1" s="1"/>
  <c r="N273" i="1" s="1"/>
  <c r="K274" i="1"/>
  <c r="L274" i="1" s="1"/>
  <c r="M274" i="1" s="1"/>
  <c r="K275" i="1"/>
  <c r="L275" i="1" s="1"/>
  <c r="M275" i="1" s="1"/>
  <c r="K276" i="1"/>
  <c r="L276" i="1" s="1"/>
  <c r="M276" i="1" s="1"/>
  <c r="K277" i="1"/>
  <c r="L277" i="1" s="1"/>
  <c r="M277" i="1" s="1"/>
  <c r="K278" i="1"/>
  <c r="L278" i="1" s="1"/>
  <c r="M278" i="1" s="1"/>
  <c r="N278" i="1" s="1"/>
  <c r="K279" i="1"/>
  <c r="L279" i="1" s="1"/>
  <c r="M279" i="1" s="1"/>
  <c r="K280" i="1"/>
  <c r="L280" i="1" s="1"/>
  <c r="M280" i="1" s="1"/>
  <c r="K281" i="1"/>
  <c r="L281" i="1" s="1"/>
  <c r="M281" i="1" s="1"/>
  <c r="K282" i="1"/>
  <c r="L282" i="1" s="1"/>
  <c r="M282" i="1" s="1"/>
  <c r="K283" i="1"/>
  <c r="L283" i="1" s="1"/>
  <c r="M283" i="1" s="1"/>
  <c r="K284" i="1"/>
  <c r="L284" i="1" s="1"/>
  <c r="M284" i="1" s="1"/>
  <c r="N284" i="1" s="1"/>
  <c r="K285" i="1"/>
  <c r="L285" i="1" s="1"/>
  <c r="M285" i="1" s="1"/>
  <c r="K286" i="1"/>
  <c r="L286" i="1" s="1"/>
  <c r="M286" i="1" s="1"/>
  <c r="K287" i="1"/>
  <c r="L287" i="1" s="1"/>
  <c r="M287" i="1" s="1"/>
  <c r="K288" i="1"/>
  <c r="L288" i="1" s="1"/>
  <c r="M288" i="1" s="1"/>
  <c r="K289" i="1"/>
  <c r="L289" i="1" s="1"/>
  <c r="M289" i="1" s="1"/>
  <c r="N289" i="1" s="1"/>
  <c r="K290" i="1"/>
  <c r="L290" i="1" s="1"/>
  <c r="M290" i="1" s="1"/>
  <c r="K291" i="1"/>
  <c r="L291" i="1" s="1"/>
  <c r="M291" i="1" s="1"/>
  <c r="K292" i="1"/>
  <c r="L292" i="1" s="1"/>
  <c r="M292" i="1" s="1"/>
  <c r="K293" i="1"/>
  <c r="L293" i="1" s="1"/>
  <c r="M293" i="1" s="1"/>
  <c r="K294" i="1"/>
  <c r="L294" i="1" s="1"/>
  <c r="M294" i="1" s="1"/>
  <c r="N294" i="1" s="1"/>
  <c r="K295" i="1"/>
  <c r="L295" i="1" s="1"/>
  <c r="M295" i="1" s="1"/>
  <c r="K296" i="1"/>
  <c r="L296" i="1" s="1"/>
  <c r="M296" i="1" s="1"/>
  <c r="K297" i="1"/>
  <c r="L297" i="1" s="1"/>
  <c r="M297" i="1" s="1"/>
  <c r="K298" i="1"/>
  <c r="L298" i="1" s="1"/>
  <c r="M298" i="1" s="1"/>
  <c r="K299" i="1"/>
  <c r="L299" i="1" s="1"/>
  <c r="M299" i="1" s="1"/>
  <c r="K300" i="1"/>
  <c r="L300" i="1" s="1"/>
  <c r="M300" i="1" s="1"/>
  <c r="N300" i="1" s="1"/>
  <c r="K301" i="1"/>
  <c r="L301" i="1" s="1"/>
  <c r="M301" i="1" s="1"/>
  <c r="K302" i="1"/>
  <c r="L302" i="1" s="1"/>
  <c r="M302" i="1" s="1"/>
  <c r="K303" i="1"/>
  <c r="L303" i="1" s="1"/>
  <c r="M303" i="1" s="1"/>
  <c r="K304" i="1"/>
  <c r="L304" i="1" s="1"/>
  <c r="M304" i="1" s="1"/>
  <c r="K305" i="1"/>
  <c r="L305" i="1" s="1"/>
  <c r="M305" i="1" s="1"/>
  <c r="N305" i="1" s="1"/>
  <c r="K306" i="1"/>
  <c r="L306" i="1" s="1"/>
  <c r="M306" i="1" s="1"/>
  <c r="K307" i="1"/>
  <c r="L307" i="1" s="1"/>
  <c r="M307" i="1" s="1"/>
  <c r="K308" i="1"/>
  <c r="L308" i="1" s="1"/>
  <c r="M308" i="1" s="1"/>
  <c r="K309" i="1"/>
  <c r="L309" i="1" s="1"/>
  <c r="M309" i="1" s="1"/>
  <c r="K310" i="1"/>
  <c r="L310" i="1" s="1"/>
  <c r="M310" i="1" s="1"/>
  <c r="N310" i="1" s="1"/>
  <c r="K311" i="1"/>
  <c r="L311" i="1" s="1"/>
  <c r="M311" i="1" s="1"/>
  <c r="K312" i="1"/>
  <c r="L312" i="1" s="1"/>
  <c r="M312" i="1" s="1"/>
  <c r="K313" i="1"/>
  <c r="L313" i="1" s="1"/>
  <c r="M313" i="1" s="1"/>
  <c r="K314" i="1"/>
  <c r="L314" i="1" s="1"/>
  <c r="M314" i="1" s="1"/>
  <c r="K315" i="1"/>
  <c r="L315" i="1" s="1"/>
  <c r="M315" i="1" s="1"/>
  <c r="K316" i="1"/>
  <c r="L316" i="1" s="1"/>
  <c r="M316" i="1" s="1"/>
  <c r="N316" i="1" s="1"/>
  <c r="K317" i="1"/>
  <c r="L317" i="1" s="1"/>
  <c r="M317" i="1" s="1"/>
  <c r="K318" i="1"/>
  <c r="L318" i="1" s="1"/>
  <c r="M318" i="1" s="1"/>
  <c r="K319" i="1"/>
  <c r="L319" i="1" s="1"/>
  <c r="M319" i="1" s="1"/>
  <c r="K320" i="1"/>
  <c r="L320" i="1" s="1"/>
  <c r="M320" i="1" s="1"/>
  <c r="K321" i="1"/>
  <c r="L321" i="1" s="1"/>
  <c r="M321" i="1" s="1"/>
  <c r="N321" i="1" s="1"/>
  <c r="K322" i="1"/>
  <c r="L322" i="1" s="1"/>
  <c r="M322" i="1" s="1"/>
  <c r="K323" i="1"/>
  <c r="L323" i="1" s="1"/>
  <c r="M323" i="1" s="1"/>
  <c r="K324" i="1"/>
  <c r="L324" i="1" s="1"/>
  <c r="M324" i="1" s="1"/>
  <c r="K325" i="1"/>
  <c r="L325" i="1" s="1"/>
  <c r="M325" i="1" s="1"/>
  <c r="K326" i="1"/>
  <c r="L326" i="1" s="1"/>
  <c r="M326" i="1" s="1"/>
  <c r="N326" i="1" s="1"/>
  <c r="K327" i="1"/>
  <c r="L327" i="1" s="1"/>
  <c r="M327" i="1" s="1"/>
  <c r="K328" i="1"/>
  <c r="L328" i="1" s="1"/>
  <c r="M328" i="1" s="1"/>
  <c r="K329" i="1"/>
  <c r="L329" i="1" s="1"/>
  <c r="M329" i="1" s="1"/>
  <c r="K330" i="1"/>
  <c r="L330" i="1" s="1"/>
  <c r="M330" i="1" s="1"/>
  <c r="K331" i="1"/>
  <c r="L331" i="1" s="1"/>
  <c r="M331" i="1" s="1"/>
  <c r="K332" i="1"/>
  <c r="L332" i="1" s="1"/>
  <c r="M332" i="1" s="1"/>
  <c r="N332" i="1" s="1"/>
  <c r="K333" i="1"/>
  <c r="L333" i="1" s="1"/>
  <c r="M333" i="1" s="1"/>
  <c r="K334" i="1"/>
  <c r="L334" i="1" s="1"/>
  <c r="M334" i="1" s="1"/>
  <c r="K335" i="1"/>
  <c r="L335" i="1" s="1"/>
  <c r="M335" i="1" s="1"/>
  <c r="K336" i="1"/>
  <c r="L336" i="1" s="1"/>
  <c r="M336" i="1" s="1"/>
  <c r="K337" i="1"/>
  <c r="L337" i="1" s="1"/>
  <c r="M337" i="1" s="1"/>
  <c r="N337" i="1" s="1"/>
  <c r="K338" i="1"/>
  <c r="L338" i="1" s="1"/>
  <c r="M338" i="1" s="1"/>
  <c r="K339" i="1"/>
  <c r="L339" i="1" s="1"/>
  <c r="M339" i="1" s="1"/>
  <c r="K340" i="1"/>
  <c r="L340" i="1" s="1"/>
  <c r="M340" i="1" s="1"/>
  <c r="K341" i="1"/>
  <c r="L341" i="1" s="1"/>
  <c r="M341" i="1" s="1"/>
  <c r="N341" i="1" s="1"/>
  <c r="K342" i="1"/>
  <c r="L342" i="1" s="1"/>
  <c r="M342" i="1" s="1"/>
  <c r="K343" i="1"/>
  <c r="L343" i="1" s="1"/>
  <c r="M343" i="1" s="1"/>
  <c r="K344" i="1"/>
  <c r="L344" i="1" s="1"/>
  <c r="M344" i="1" s="1"/>
  <c r="K345" i="1"/>
  <c r="L345" i="1" s="1"/>
  <c r="M345" i="1" s="1"/>
  <c r="N345" i="1" s="1"/>
  <c r="K346" i="1"/>
  <c r="L346" i="1" s="1"/>
  <c r="M346" i="1" s="1"/>
  <c r="K347" i="1"/>
  <c r="L347" i="1" s="1"/>
  <c r="M347" i="1" s="1"/>
  <c r="K348" i="1"/>
  <c r="L348" i="1" s="1"/>
  <c r="M348" i="1" s="1"/>
  <c r="K349" i="1"/>
  <c r="L349" i="1" s="1"/>
  <c r="M349" i="1" s="1"/>
  <c r="N349" i="1" s="1"/>
  <c r="K350" i="1"/>
  <c r="L350" i="1" s="1"/>
  <c r="M350" i="1" s="1"/>
  <c r="K351" i="1"/>
  <c r="L351" i="1" s="1"/>
  <c r="M351" i="1" s="1"/>
  <c r="K352" i="1"/>
  <c r="L352" i="1" s="1"/>
  <c r="M352" i="1" s="1"/>
  <c r="K353" i="1"/>
  <c r="L353" i="1" s="1"/>
  <c r="M353" i="1" s="1"/>
  <c r="N353" i="1" s="1"/>
  <c r="K354" i="1"/>
  <c r="L354" i="1" s="1"/>
  <c r="M354" i="1" s="1"/>
  <c r="K355" i="1"/>
  <c r="L355" i="1" s="1"/>
  <c r="M355" i="1" s="1"/>
  <c r="K356" i="1"/>
  <c r="L356" i="1" s="1"/>
  <c r="M356" i="1" s="1"/>
  <c r="K357" i="1"/>
  <c r="L357" i="1" s="1"/>
  <c r="M357" i="1" s="1"/>
  <c r="N357" i="1" s="1"/>
  <c r="K358" i="1"/>
  <c r="L358" i="1" s="1"/>
  <c r="M358" i="1" s="1"/>
  <c r="K359" i="1"/>
  <c r="L359" i="1" s="1"/>
  <c r="M359" i="1" s="1"/>
  <c r="K360" i="1"/>
  <c r="L360" i="1" s="1"/>
  <c r="M360" i="1" s="1"/>
  <c r="K361" i="1"/>
  <c r="L361" i="1" s="1"/>
  <c r="M361" i="1" s="1"/>
  <c r="N361" i="1" s="1"/>
  <c r="K362" i="1"/>
  <c r="L362" i="1" s="1"/>
  <c r="M362" i="1" s="1"/>
  <c r="K363" i="1"/>
  <c r="L363" i="1" s="1"/>
  <c r="M363" i="1" s="1"/>
  <c r="K364" i="1"/>
  <c r="L364" i="1" s="1"/>
  <c r="M364" i="1" s="1"/>
  <c r="K365" i="1"/>
  <c r="L365" i="1" s="1"/>
  <c r="M365" i="1" s="1"/>
  <c r="N365" i="1" s="1"/>
  <c r="K366" i="1"/>
  <c r="L366" i="1" s="1"/>
  <c r="M366" i="1" s="1"/>
  <c r="K367" i="1"/>
  <c r="L367" i="1" s="1"/>
  <c r="M367" i="1" s="1"/>
  <c r="K368" i="1"/>
  <c r="L368" i="1" s="1"/>
  <c r="M368" i="1" s="1"/>
  <c r="K369" i="1"/>
  <c r="L369" i="1" s="1"/>
  <c r="M369" i="1" s="1"/>
  <c r="N369" i="1" s="1"/>
  <c r="K370" i="1"/>
  <c r="L370" i="1" s="1"/>
  <c r="M370" i="1" s="1"/>
  <c r="K371" i="1"/>
  <c r="L371" i="1" s="1"/>
  <c r="M371" i="1" s="1"/>
  <c r="K372" i="1"/>
  <c r="L372" i="1" s="1"/>
  <c r="M372" i="1" s="1"/>
  <c r="K373" i="1"/>
  <c r="L373" i="1" s="1"/>
  <c r="M373" i="1" s="1"/>
  <c r="N373" i="1" s="1"/>
  <c r="K374" i="1"/>
  <c r="L374" i="1" s="1"/>
  <c r="M374" i="1" s="1"/>
  <c r="K375" i="1"/>
  <c r="L375" i="1" s="1"/>
  <c r="M375" i="1" s="1"/>
  <c r="K376" i="1"/>
  <c r="L376" i="1" s="1"/>
  <c r="M376" i="1" s="1"/>
  <c r="K377" i="1"/>
  <c r="L377" i="1" s="1"/>
  <c r="M377" i="1" s="1"/>
  <c r="N377" i="1" s="1"/>
  <c r="K378" i="1"/>
  <c r="L378" i="1" s="1"/>
  <c r="M378" i="1" s="1"/>
  <c r="K379" i="1"/>
  <c r="L379" i="1" s="1"/>
  <c r="M379" i="1" s="1"/>
  <c r="K380" i="1"/>
  <c r="L380" i="1" s="1"/>
  <c r="M380" i="1" s="1"/>
  <c r="K381" i="1"/>
  <c r="L381" i="1" s="1"/>
  <c r="M381" i="1" s="1"/>
  <c r="N381" i="1" s="1"/>
  <c r="K382" i="1"/>
  <c r="L382" i="1" s="1"/>
  <c r="M382" i="1" s="1"/>
  <c r="K383" i="1"/>
  <c r="L383" i="1" s="1"/>
  <c r="M383" i="1" s="1"/>
  <c r="K384" i="1"/>
  <c r="L384" i="1" s="1"/>
  <c r="M384" i="1" s="1"/>
  <c r="K385" i="1"/>
  <c r="L385" i="1" s="1"/>
  <c r="M385" i="1" s="1"/>
  <c r="N385" i="1" s="1"/>
  <c r="K386" i="1"/>
  <c r="L386" i="1" s="1"/>
  <c r="M386" i="1" s="1"/>
  <c r="K387" i="1"/>
  <c r="L387" i="1" s="1"/>
  <c r="M387" i="1" s="1"/>
  <c r="K388" i="1"/>
  <c r="L388" i="1" s="1"/>
  <c r="M388" i="1" s="1"/>
  <c r="K389" i="1"/>
  <c r="L389" i="1" s="1"/>
  <c r="M389" i="1" s="1"/>
  <c r="N389" i="1" s="1"/>
  <c r="K390" i="1"/>
  <c r="L390" i="1" s="1"/>
  <c r="M390" i="1" s="1"/>
  <c r="K391" i="1"/>
  <c r="L391" i="1" s="1"/>
  <c r="M391" i="1" s="1"/>
  <c r="K392" i="1"/>
  <c r="L392" i="1" s="1"/>
  <c r="M392" i="1" s="1"/>
  <c r="K393" i="1"/>
  <c r="L393" i="1" s="1"/>
  <c r="M393" i="1" s="1"/>
  <c r="N393" i="1" s="1"/>
  <c r="K3" i="1"/>
  <c r="L3" i="1" s="1"/>
  <c r="M3" i="1" s="1"/>
  <c r="K4" i="1"/>
  <c r="L4" i="1" s="1"/>
  <c r="M4" i="1" s="1"/>
  <c r="K5" i="1"/>
  <c r="L5" i="1" s="1"/>
  <c r="M5" i="1" s="1"/>
  <c r="K6" i="1"/>
  <c r="L6" i="1" s="1"/>
  <c r="M6" i="1" s="1"/>
  <c r="K2" i="1"/>
  <c r="T4" i="1" l="1"/>
  <c r="T3" i="1"/>
  <c r="U4" i="1"/>
  <c r="U3" i="1"/>
  <c r="L2" i="1"/>
  <c r="M2" i="1" s="1"/>
  <c r="N5" i="1"/>
  <c r="N384" i="1"/>
  <c r="N372" i="1"/>
  <c r="N360" i="1"/>
  <c r="N348" i="1"/>
  <c r="N336" i="1"/>
  <c r="N324" i="1"/>
  <c r="N312" i="1"/>
  <c r="N288" i="1"/>
  <c r="N276" i="1"/>
  <c r="N264" i="1"/>
  <c r="N252" i="1"/>
  <c r="N240" i="1"/>
  <c r="N228" i="1"/>
  <c r="N216" i="1"/>
  <c r="N204" i="1"/>
  <c r="N192" i="1"/>
  <c r="N180" i="1"/>
  <c r="N168" i="1"/>
  <c r="N156" i="1"/>
  <c r="N144" i="1"/>
  <c r="N132" i="1"/>
  <c r="N120" i="1"/>
  <c r="N108" i="1"/>
  <c r="N96" i="1"/>
  <c r="N84" i="1"/>
  <c r="N72" i="1"/>
  <c r="N60" i="1"/>
  <c r="N48" i="1"/>
  <c r="N36" i="1"/>
  <c r="N24" i="1"/>
  <c r="N8" i="1"/>
  <c r="N4" i="1"/>
  <c r="N387" i="1"/>
  <c r="N379" i="1"/>
  <c r="N371" i="1"/>
  <c r="N363" i="1"/>
  <c r="N355" i="1"/>
  <c r="N347" i="1"/>
  <c r="N339" i="1"/>
  <c r="N331" i="1"/>
  <c r="N3" i="1"/>
  <c r="N386" i="1"/>
  <c r="N378" i="1"/>
  <c r="N370" i="1"/>
  <c r="N362" i="1"/>
  <c r="N354" i="1"/>
  <c r="N346" i="1"/>
  <c r="N338" i="1"/>
  <c r="N330" i="1"/>
  <c r="N322" i="1"/>
  <c r="N302" i="1"/>
  <c r="N298" i="1"/>
  <c r="N290" i="1"/>
  <c r="N282" i="1"/>
  <c r="N274" i="1"/>
  <c r="N266" i="1"/>
  <c r="N258" i="1"/>
  <c r="N250" i="1"/>
  <c r="N242" i="1"/>
  <c r="N234" i="1"/>
  <c r="N226" i="1"/>
  <c r="N222" i="1"/>
  <c r="N214" i="1"/>
  <c r="N206" i="1"/>
  <c r="N198" i="1"/>
  <c r="N190" i="1"/>
  <c r="N182" i="1"/>
  <c r="N174" i="1"/>
  <c r="N166" i="1"/>
  <c r="N162" i="1"/>
  <c r="N158" i="1"/>
  <c r="N154" i="1"/>
  <c r="N150" i="1"/>
  <c r="N146" i="1"/>
  <c r="N142" i="1"/>
  <c r="N138" i="1"/>
  <c r="N134" i="1"/>
  <c r="N130" i="1"/>
  <c r="N126" i="1"/>
  <c r="N122" i="1"/>
  <c r="N118" i="1"/>
  <c r="N114" i="1"/>
  <c r="N110" i="1"/>
  <c r="N106" i="1"/>
  <c r="N102" i="1"/>
  <c r="N98" i="1"/>
  <c r="N94" i="1"/>
  <c r="N90" i="1"/>
  <c r="N86" i="1"/>
  <c r="N82" i="1"/>
  <c r="N78" i="1"/>
  <c r="N74" i="1"/>
  <c r="N70" i="1"/>
  <c r="N66" i="1"/>
  <c r="N62" i="1"/>
  <c r="N58" i="1"/>
  <c r="N54" i="1"/>
  <c r="N50" i="1"/>
  <c r="N46" i="1"/>
  <c r="N42" i="1"/>
  <c r="N38" i="1"/>
  <c r="N34" i="1"/>
  <c r="N26" i="1"/>
  <c r="N22" i="1"/>
  <c r="N18" i="1"/>
  <c r="N10" i="1"/>
  <c r="N388" i="1"/>
  <c r="N376" i="1"/>
  <c r="N364" i="1"/>
  <c r="N352" i="1"/>
  <c r="N340" i="1"/>
  <c r="N328" i="1"/>
  <c r="N320" i="1"/>
  <c r="N308" i="1"/>
  <c r="N296" i="1"/>
  <c r="N272" i="1"/>
  <c r="N260" i="1"/>
  <c r="N248" i="1"/>
  <c r="N236" i="1"/>
  <c r="N224" i="1"/>
  <c r="N212" i="1"/>
  <c r="N200" i="1"/>
  <c r="N188" i="1"/>
  <c r="N176" i="1"/>
  <c r="N164" i="1"/>
  <c r="N152" i="1"/>
  <c r="N140" i="1"/>
  <c r="N128" i="1"/>
  <c r="N116" i="1"/>
  <c r="N104" i="1"/>
  <c r="N92" i="1"/>
  <c r="N80" i="1"/>
  <c r="N68" i="1"/>
  <c r="N56" i="1"/>
  <c r="N44" i="1"/>
  <c r="N32" i="1"/>
  <c r="N20" i="1"/>
  <c r="N12" i="1"/>
  <c r="N391" i="1"/>
  <c r="N383" i="1"/>
  <c r="N375" i="1"/>
  <c r="N367" i="1"/>
  <c r="N359" i="1"/>
  <c r="N351" i="1"/>
  <c r="N343" i="1"/>
  <c r="N335" i="1"/>
  <c r="N327" i="1"/>
  <c r="N390" i="1"/>
  <c r="N382" i="1"/>
  <c r="N374" i="1"/>
  <c r="N366" i="1"/>
  <c r="N358" i="1"/>
  <c r="N350" i="1"/>
  <c r="N342" i="1"/>
  <c r="N334" i="1"/>
  <c r="N318" i="1"/>
  <c r="N314" i="1"/>
  <c r="N306" i="1"/>
  <c r="N286" i="1"/>
  <c r="N270" i="1"/>
  <c r="N262" i="1"/>
  <c r="N254" i="1"/>
  <c r="N246" i="1"/>
  <c r="N238" i="1"/>
  <c r="N230" i="1"/>
  <c r="N218" i="1"/>
  <c r="N210" i="1"/>
  <c r="N202" i="1"/>
  <c r="N194" i="1"/>
  <c r="N186" i="1"/>
  <c r="N178" i="1"/>
  <c r="N170" i="1"/>
  <c r="N6" i="1"/>
  <c r="N333" i="1"/>
  <c r="N329" i="1"/>
  <c r="N325" i="1"/>
  <c r="N317" i="1"/>
  <c r="N313" i="1"/>
  <c r="N309" i="1"/>
  <c r="N301" i="1"/>
  <c r="N297" i="1"/>
  <c r="N293" i="1"/>
  <c r="N285" i="1"/>
  <c r="N281" i="1"/>
  <c r="N277" i="1"/>
  <c r="N269" i="1"/>
  <c r="N261" i="1"/>
  <c r="N392" i="1"/>
  <c r="N380" i="1"/>
  <c r="N368" i="1"/>
  <c r="N356" i="1"/>
  <c r="N344" i="1"/>
  <c r="N304" i="1"/>
  <c r="N292" i="1"/>
  <c r="N280" i="1"/>
  <c r="N268" i="1"/>
  <c r="N256" i="1"/>
  <c r="N244" i="1"/>
  <c r="N232" i="1"/>
  <c r="N220" i="1"/>
  <c r="N208" i="1"/>
  <c r="N196" i="1"/>
  <c r="N184" i="1"/>
  <c r="N172" i="1"/>
  <c r="N160" i="1"/>
  <c r="N148" i="1"/>
  <c r="N136" i="1"/>
  <c r="N124" i="1"/>
  <c r="N112" i="1"/>
  <c r="N100" i="1"/>
  <c r="N88" i="1"/>
  <c r="N76" i="1"/>
  <c r="N64" i="1"/>
  <c r="N52" i="1"/>
  <c r="N40" i="1"/>
  <c r="N28" i="1"/>
  <c r="N16" i="1"/>
  <c r="N323" i="1"/>
  <c r="N319" i="1"/>
  <c r="N315" i="1"/>
  <c r="N311" i="1"/>
  <c r="N307" i="1"/>
  <c r="N303" i="1"/>
  <c r="N299" i="1"/>
  <c r="N295" i="1"/>
  <c r="N291" i="1"/>
  <c r="N287" i="1"/>
  <c r="N283" i="1"/>
  <c r="N279" i="1"/>
  <c r="N275" i="1"/>
  <c r="N271" i="1"/>
  <c r="N267" i="1"/>
  <c r="N263" i="1"/>
  <c r="N259" i="1"/>
  <c r="N255" i="1"/>
  <c r="N251" i="1"/>
  <c r="N247" i="1"/>
  <c r="N243" i="1"/>
  <c r="N239" i="1"/>
  <c r="N235" i="1"/>
  <c r="N231" i="1"/>
  <c r="N227" i="1"/>
  <c r="N223" i="1"/>
  <c r="N219" i="1"/>
  <c r="N215" i="1"/>
  <c r="N211" i="1"/>
  <c r="N207" i="1"/>
  <c r="N203" i="1"/>
  <c r="N199" i="1"/>
  <c r="N195" i="1"/>
  <c r="N191" i="1"/>
  <c r="N187" i="1"/>
  <c r="N183" i="1"/>
  <c r="N179" i="1"/>
  <c r="N175" i="1"/>
  <c r="N171" i="1"/>
  <c r="N167" i="1"/>
  <c r="N163" i="1"/>
  <c r="N159" i="1"/>
  <c r="N155" i="1"/>
  <c r="N151" i="1"/>
  <c r="N147" i="1"/>
  <c r="N143" i="1"/>
  <c r="N139" i="1"/>
  <c r="N135" i="1"/>
  <c r="N131" i="1"/>
  <c r="N127" i="1"/>
  <c r="N123" i="1"/>
  <c r="N119" i="1"/>
  <c r="N115" i="1"/>
  <c r="N111" i="1"/>
  <c r="N107" i="1"/>
  <c r="N103" i="1"/>
  <c r="N99" i="1"/>
  <c r="N95" i="1"/>
  <c r="N91" i="1"/>
  <c r="N87" i="1"/>
  <c r="N83" i="1"/>
  <c r="N79" i="1"/>
  <c r="N75" i="1"/>
  <c r="N71" i="1"/>
  <c r="N67" i="1"/>
  <c r="N63" i="1"/>
  <c r="N59" i="1"/>
  <c r="N55" i="1"/>
  <c r="N51" i="1"/>
  <c r="N47" i="1"/>
  <c r="N43" i="1"/>
  <c r="N39" i="1"/>
  <c r="N35" i="1"/>
  <c r="N31" i="1"/>
  <c r="N27" i="1"/>
  <c r="N23" i="1"/>
  <c r="N19" i="1"/>
  <c r="N15" i="1"/>
  <c r="N11" i="1"/>
  <c r="N7" i="1"/>
  <c r="N33" i="1"/>
  <c r="N29" i="1"/>
  <c r="N25" i="1"/>
  <c r="N21" i="1"/>
  <c r="N17" i="1"/>
  <c r="N13" i="1"/>
  <c r="N9" i="1"/>
  <c r="N2" i="1" l="1"/>
  <c r="N394" i="1" s="1"/>
  <c r="V4" i="1" l="1"/>
  <c r="T10" i="1"/>
  <c r="T9" i="1"/>
  <c r="T8" i="1"/>
  <c r="V3" i="1"/>
  <c r="T11" i="1" l="1"/>
  <c r="V5" i="1"/>
  <c r="T7" i="1" s="1"/>
</calcChain>
</file>

<file path=xl/sharedStrings.xml><?xml version="1.0" encoding="utf-8"?>
<sst xmlns="http://schemas.openxmlformats.org/spreadsheetml/2006/main" count="59" uniqueCount="35">
  <si>
    <t>No_Times_Pregnant</t>
  </si>
  <si>
    <t>Plasma_Glucose</t>
  </si>
  <si>
    <t>Diastolic_BP</t>
  </si>
  <si>
    <t>Triceps</t>
  </si>
  <si>
    <t>Insulin</t>
  </si>
  <si>
    <t>BMI</t>
  </si>
  <si>
    <t>Age</t>
  </si>
  <si>
    <t>Diabetes</t>
  </si>
  <si>
    <t>a0</t>
  </si>
  <si>
    <t>a1</t>
  </si>
  <si>
    <t>a2</t>
  </si>
  <si>
    <t>a3</t>
  </si>
  <si>
    <t>a4</t>
  </si>
  <si>
    <t>a5</t>
  </si>
  <si>
    <t>a6</t>
  </si>
  <si>
    <t>logit</t>
  </si>
  <si>
    <t>a7</t>
  </si>
  <si>
    <r>
      <t>e</t>
    </r>
    <r>
      <rPr>
        <b/>
        <vertAlign val="superscript"/>
        <sz val="10"/>
        <color rgb="FF000000"/>
        <rFont val="Inherit"/>
      </rPr>
      <t>logit</t>
    </r>
  </si>
  <si>
    <t>Probability</t>
  </si>
  <si>
    <t>Log Probability</t>
  </si>
  <si>
    <t xml:space="preserve">SUM </t>
  </si>
  <si>
    <t>P</t>
  </si>
  <si>
    <t>P(X=0)</t>
  </si>
  <si>
    <t>Actual/Predicted</t>
  </si>
  <si>
    <t>Name</t>
  </si>
  <si>
    <t>Value</t>
  </si>
  <si>
    <t>Acuracy</t>
  </si>
  <si>
    <t>Precision</t>
  </si>
  <si>
    <t>Recall</t>
  </si>
  <si>
    <t>Sensitivity</t>
  </si>
  <si>
    <t>Specificity</t>
  </si>
  <si>
    <t>sno</t>
  </si>
  <si>
    <r>
      <t>[X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X]^-1</t>
    </r>
  </si>
  <si>
    <r>
      <t>X</t>
    </r>
    <r>
      <rPr>
        <vertAlign val="superscript"/>
        <sz val="11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>*Y</t>
    </r>
  </si>
  <si>
    <t>predicted(Y)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</si>
</sst>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000000"/>
      <name val="Helvetica"/>
    </font>
    <font>
      <b/>
      <vertAlign val="superscript"/>
      <sz val="10"/>
      <color rgb="FF000000"/>
      <name val="Inherit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152400</xdr:rowOff>
    </xdr:from>
    <xdr:to>
      <xdr:col>20</xdr:col>
      <xdr:colOff>99060</xdr:colOff>
      <xdr:row>15</xdr:row>
      <xdr:rowOff>160020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AD4AF8-572B-45C7-8FFD-549936E27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0" y="1615440"/>
          <a:ext cx="5585460" cy="1104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464820</xdr:colOff>
      <xdr:row>9</xdr:row>
      <xdr:rowOff>0</xdr:rowOff>
    </xdr:from>
    <xdr:to>
      <xdr:col>15</xdr:col>
      <xdr:colOff>281940</xdr:colOff>
      <xdr:row>10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5EACCC-A931-4291-8CC5-D047800EA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0020" y="1463040"/>
          <a:ext cx="10363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4"/>
  <sheetViews>
    <sheetView topLeftCell="B1" workbookViewId="0">
      <selection activeCell="T11" sqref="T11"/>
    </sheetView>
  </sheetViews>
  <sheetFormatPr defaultRowHeight="14.4"/>
  <cols>
    <col min="1" max="1" width="18.21875" bestFit="1" customWidth="1"/>
    <col min="2" max="2" width="14.6640625" bestFit="1" customWidth="1"/>
    <col min="3" max="3" width="11.21875" bestFit="1" customWidth="1"/>
    <col min="4" max="4" width="6.88671875" bestFit="1" customWidth="1"/>
    <col min="5" max="5" width="6.5546875" bestFit="1" customWidth="1"/>
    <col min="6" max="6" width="11.77734375" bestFit="1" customWidth="1"/>
    <col min="7" max="7" width="4.21875" bestFit="1" customWidth="1"/>
    <col min="10" max="10" width="10" bestFit="1" customWidth="1"/>
    <col min="13" max="13" width="10.109375" bestFit="1" customWidth="1"/>
    <col min="14" max="14" width="13.6640625" bestFit="1" customWidth="1"/>
    <col min="16" max="16" width="11.33203125" bestFit="1" customWidth="1"/>
    <col min="17" max="17" width="11.33203125" customWidth="1"/>
    <col min="19" max="19" width="14.6640625" bestFit="1" customWidth="1"/>
  </cols>
  <sheetData>
    <row r="1" spans="1:22" ht="16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2" t="s">
        <v>15</v>
      </c>
      <c r="L1" s="2" t="s">
        <v>17</v>
      </c>
      <c r="M1" s="1" t="s">
        <v>18</v>
      </c>
      <c r="N1" s="1" t="s">
        <v>19</v>
      </c>
      <c r="O1" s="1" t="s">
        <v>21</v>
      </c>
      <c r="P1" s="1" t="s">
        <v>34</v>
      </c>
      <c r="Q1" s="1"/>
    </row>
    <row r="2" spans="1:22">
      <c r="A2">
        <v>1</v>
      </c>
      <c r="B2">
        <v>89</v>
      </c>
      <c r="C2">
        <v>66</v>
      </c>
      <c r="D2">
        <v>23</v>
      </c>
      <c r="E2">
        <v>94</v>
      </c>
      <c r="F2">
        <v>28.1</v>
      </c>
      <c r="G2">
        <v>21</v>
      </c>
      <c r="H2">
        <v>0</v>
      </c>
      <c r="I2" s="4" t="s">
        <v>22</v>
      </c>
      <c r="J2" s="4"/>
      <c r="K2">
        <f>J$3+A2*J$4+J$5*B2++J$6*C2+J$7*D2+J$8*E2+J$9*F2+J$10*G2</f>
        <v>-3.4100732664126832E-2</v>
      </c>
      <c r="L2">
        <f>EXP(K2)</f>
        <v>0.96647414421854494</v>
      </c>
      <c r="M2">
        <f>IF(H2=1,L2/(1+L2),1-(L2/(1+L2)))</f>
        <v>0.50852435712923594</v>
      </c>
      <c r="N2">
        <f>LN(M2)</f>
        <v>-0.67624216468152276</v>
      </c>
      <c r="O2">
        <f>(EXP(J$3+J$4*A2+J$5*B2+J$6*C2+J$7*D2+J$8*E2+J$9*F2+J$10*G2))/(1+(EXP(J$3+J$4*A2+J$5*B2+J$6*C2+J$7*D2+J$8*E2+J$9*F2+J$10*G2)))</f>
        <v>0.49147564287076406</v>
      </c>
      <c r="P2">
        <f>IF(O2&lt;0.6, 0,1)</f>
        <v>0</v>
      </c>
      <c r="S2" s="3" t="s">
        <v>23</v>
      </c>
      <c r="T2" s="3" t="b">
        <v>1</v>
      </c>
      <c r="U2" s="3" t="b">
        <v>0</v>
      </c>
    </row>
    <row r="3" spans="1:22">
      <c r="A3">
        <v>0</v>
      </c>
      <c r="B3">
        <v>137</v>
      </c>
      <c r="C3">
        <v>40</v>
      </c>
      <c r="D3">
        <v>35</v>
      </c>
      <c r="E3">
        <v>168</v>
      </c>
      <c r="F3">
        <v>43.1</v>
      </c>
      <c r="G3">
        <v>33</v>
      </c>
      <c r="H3">
        <v>1</v>
      </c>
      <c r="I3" s="3" t="s">
        <v>8</v>
      </c>
      <c r="J3" s="3">
        <v>-1.0594535390958209</v>
      </c>
      <c r="K3">
        <f t="shared" ref="K3:K66" si="0">J$3+A3*J$4+J$5*B3++J$6*C3+J$7*D3+J$8*E3+J$9*F3+J$10*G3</f>
        <v>0.52440249275220552</v>
      </c>
      <c r="L3">
        <f t="shared" ref="L3:L66" si="1">EXP(K3)</f>
        <v>1.6894490886645022</v>
      </c>
      <c r="M3">
        <f t="shared" ref="M3:M66" si="2">IF(H3=1,L3/(1+L3),1-(L3/(1+L3)))</f>
        <v>0.62817663877155994</v>
      </c>
      <c r="N3">
        <f t="shared" ref="N3:N66" si="3">LN(M3)</f>
        <v>-0.46493388013423598</v>
      </c>
      <c r="O3">
        <f t="shared" ref="O3:O66" si="4">(EXP(J$3+J$4*A3+J$5*B3+J$6*C3+J$7*D3+J$8*E3+J$9*F3+J$10*G3))/(1+(EXP(J$3+J$4*A3+J$5*B3+J$6*C3+J$7*D3+J$8*E3+J$9*F3+J$10*G3)))</f>
        <v>0.62817663877155994</v>
      </c>
      <c r="P3">
        <f t="shared" ref="P3:P66" si="5">IF(O3&lt;0.6, 0,1)</f>
        <v>1</v>
      </c>
      <c r="S3" s="3" t="b">
        <v>1</v>
      </c>
      <c r="T3" s="3">
        <f>COUNTIFS(H2:H393,"=1",P2:P393,"=1")</f>
        <v>94</v>
      </c>
      <c r="U3" s="3">
        <f>COUNTIFS(H2:H393,"=0",P2:P393,"=1")</f>
        <v>48</v>
      </c>
      <c r="V3">
        <f>T3+U3</f>
        <v>142</v>
      </c>
    </row>
    <row r="4" spans="1:22">
      <c r="A4">
        <v>3</v>
      </c>
      <c r="B4">
        <v>78</v>
      </c>
      <c r="C4">
        <v>50</v>
      </c>
      <c r="D4">
        <v>32</v>
      </c>
      <c r="E4">
        <v>88</v>
      </c>
      <c r="F4">
        <v>31</v>
      </c>
      <c r="G4">
        <v>26</v>
      </c>
      <c r="H4">
        <v>1</v>
      </c>
      <c r="I4" s="3" t="s">
        <v>9</v>
      </c>
      <c r="J4" s="3">
        <v>1.1872631547510559E-2</v>
      </c>
      <c r="K4">
        <f t="shared" si="0"/>
        <v>5.0042615115015177E-3</v>
      </c>
      <c r="L4">
        <f t="shared" si="1"/>
        <v>1.0050168037409437</v>
      </c>
      <c r="M4">
        <f t="shared" si="2"/>
        <v>0.501251062767051</v>
      </c>
      <c r="N4">
        <f t="shared" si="3"/>
        <v>-0.69064818013008755</v>
      </c>
      <c r="O4">
        <f t="shared" si="4"/>
        <v>0.501251062767051</v>
      </c>
      <c r="P4">
        <f t="shared" si="5"/>
        <v>0</v>
      </c>
      <c r="S4" s="3" t="b">
        <v>0</v>
      </c>
      <c r="T4" s="3">
        <f>COUNTIFS(H2:H393,"=1",P2:P393,"=0")</f>
        <v>36</v>
      </c>
      <c r="U4" s="3">
        <f>COUNTIFS(H2:H393,"=0",P2:P393,"=0")</f>
        <v>214</v>
      </c>
      <c r="V4">
        <f>T4+U4</f>
        <v>250</v>
      </c>
    </row>
    <row r="5" spans="1:22">
      <c r="A5">
        <v>2</v>
      </c>
      <c r="B5">
        <v>197</v>
      </c>
      <c r="C5">
        <v>70</v>
      </c>
      <c r="D5">
        <v>45</v>
      </c>
      <c r="E5">
        <v>543</v>
      </c>
      <c r="F5">
        <v>30.5</v>
      </c>
      <c r="G5">
        <v>53</v>
      </c>
      <c r="H5">
        <v>1</v>
      </c>
      <c r="I5" s="3" t="s">
        <v>10</v>
      </c>
      <c r="J5" s="3">
        <v>6.5383764808059873E-3</v>
      </c>
      <c r="K5">
        <f t="shared" si="0"/>
        <v>0.91307588538105444</v>
      </c>
      <c r="L5">
        <f t="shared" si="1"/>
        <v>2.4919757889815846</v>
      </c>
      <c r="M5">
        <f t="shared" si="2"/>
        <v>0.713629171440606</v>
      </c>
      <c r="N5">
        <f t="shared" si="3"/>
        <v>-0.33739181929093276</v>
      </c>
      <c r="O5">
        <f t="shared" si="4"/>
        <v>0.713629171440606</v>
      </c>
      <c r="P5">
        <f t="shared" si="5"/>
        <v>1</v>
      </c>
      <c r="V5">
        <f>V3+V4</f>
        <v>392</v>
      </c>
    </row>
    <row r="6" spans="1:22">
      <c r="A6">
        <v>1</v>
      </c>
      <c r="B6">
        <v>189</v>
      </c>
      <c r="C6">
        <v>60</v>
      </c>
      <c r="D6">
        <v>23</v>
      </c>
      <c r="E6">
        <v>846</v>
      </c>
      <c r="F6">
        <v>30.1</v>
      </c>
      <c r="G6">
        <v>59</v>
      </c>
      <c r="H6">
        <v>1</v>
      </c>
      <c r="I6" s="3" t="s">
        <v>11</v>
      </c>
      <c r="J6" s="3">
        <v>-3.9334127834139698E-4</v>
      </c>
      <c r="K6">
        <f t="shared" si="0"/>
        <v>0.81022144219737313</v>
      </c>
      <c r="L6">
        <f t="shared" si="1"/>
        <v>2.248405823479537</v>
      </c>
      <c r="M6">
        <f t="shared" si="2"/>
        <v>0.69215669028420601</v>
      </c>
      <c r="N6">
        <f t="shared" si="3"/>
        <v>-0.36794291794956729</v>
      </c>
      <c r="O6">
        <f t="shared" si="4"/>
        <v>0.69215669028420601</v>
      </c>
      <c r="P6">
        <f t="shared" si="5"/>
        <v>1</v>
      </c>
      <c r="S6" t="s">
        <v>24</v>
      </c>
      <c r="T6" t="s">
        <v>25</v>
      </c>
    </row>
    <row r="7" spans="1:22">
      <c r="A7">
        <v>5</v>
      </c>
      <c r="B7">
        <v>166</v>
      </c>
      <c r="C7">
        <v>72</v>
      </c>
      <c r="D7">
        <v>19</v>
      </c>
      <c r="E7">
        <v>175</v>
      </c>
      <c r="F7">
        <v>25.8</v>
      </c>
      <c r="G7">
        <v>51</v>
      </c>
      <c r="H7">
        <v>1</v>
      </c>
      <c r="I7" s="3" t="s">
        <v>12</v>
      </c>
      <c r="J7" s="3">
        <v>2.1100785946949543E-3</v>
      </c>
      <c r="K7">
        <f t="shared" si="0"/>
        <v>0.66734943361920174</v>
      </c>
      <c r="L7">
        <f t="shared" si="1"/>
        <v>1.9490643435818578</v>
      </c>
      <c r="M7">
        <f t="shared" si="2"/>
        <v>0.66090939922137271</v>
      </c>
      <c r="N7">
        <f t="shared" si="3"/>
        <v>-0.41413851475578867</v>
      </c>
      <c r="O7">
        <f t="shared" si="4"/>
        <v>0.66090939922137271</v>
      </c>
      <c r="P7">
        <f t="shared" si="5"/>
        <v>1</v>
      </c>
      <c r="S7" t="s">
        <v>26</v>
      </c>
      <c r="T7">
        <f>(T3+U4)/(V5)</f>
        <v>0.7857142857142857</v>
      </c>
    </row>
    <row r="8" spans="1:22">
      <c r="A8">
        <v>0</v>
      </c>
      <c r="B8">
        <v>118</v>
      </c>
      <c r="C8">
        <v>84</v>
      </c>
      <c r="D8">
        <v>47</v>
      </c>
      <c r="E8">
        <v>230</v>
      </c>
      <c r="F8">
        <v>45.8</v>
      </c>
      <c r="G8">
        <v>31</v>
      </c>
      <c r="H8">
        <v>1</v>
      </c>
      <c r="I8" s="3" t="s">
        <v>13</v>
      </c>
      <c r="J8" s="3">
        <v>-1.0130075575638621E-4</v>
      </c>
      <c r="K8">
        <f t="shared" si="0"/>
        <v>0.41630903728932656</v>
      </c>
      <c r="L8">
        <f t="shared" si="1"/>
        <v>1.5163544065244874</v>
      </c>
      <c r="M8">
        <f t="shared" si="2"/>
        <v>0.60259969843390626</v>
      </c>
      <c r="N8">
        <f t="shared" si="3"/>
        <v>-0.50650215272763743</v>
      </c>
      <c r="O8">
        <f t="shared" si="4"/>
        <v>0.60259969843390626</v>
      </c>
      <c r="P8">
        <f t="shared" si="5"/>
        <v>1</v>
      </c>
      <c r="S8" t="s">
        <v>27</v>
      </c>
      <c r="T8">
        <f>T3/(T3+U3)</f>
        <v>0.6619718309859155</v>
      </c>
    </row>
    <row r="9" spans="1:22">
      <c r="A9">
        <v>1</v>
      </c>
      <c r="B9">
        <v>103</v>
      </c>
      <c r="C9">
        <v>30</v>
      </c>
      <c r="D9">
        <v>38</v>
      </c>
      <c r="E9">
        <v>83</v>
      </c>
      <c r="F9">
        <v>43.3</v>
      </c>
      <c r="G9">
        <v>33</v>
      </c>
      <c r="H9">
        <v>0</v>
      </c>
      <c r="I9" s="3" t="s">
        <v>14</v>
      </c>
      <c r="J9" s="3">
        <v>1.0092843951217591E-2</v>
      </c>
      <c r="K9">
        <f t="shared" si="0"/>
        <v>0.33486310554934773</v>
      </c>
      <c r="L9">
        <f t="shared" si="1"/>
        <v>1.3977490280395544</v>
      </c>
      <c r="M9">
        <f t="shared" si="2"/>
        <v>0.41705782728128937</v>
      </c>
      <c r="N9">
        <f t="shared" si="3"/>
        <v>-0.87453039226229401</v>
      </c>
      <c r="O9">
        <f t="shared" si="4"/>
        <v>0.58294217271871063</v>
      </c>
      <c r="P9">
        <f t="shared" si="5"/>
        <v>0</v>
      </c>
      <c r="S9" t="s">
        <v>28</v>
      </c>
      <c r="T9">
        <f>T3/(T3+T4)</f>
        <v>0.72307692307692306</v>
      </c>
    </row>
    <row r="10" spans="1:22">
      <c r="A10">
        <v>1</v>
      </c>
      <c r="B10">
        <v>115</v>
      </c>
      <c r="C10">
        <v>70</v>
      </c>
      <c r="D10">
        <v>30</v>
      </c>
      <c r="E10">
        <v>96</v>
      </c>
      <c r="F10">
        <v>34.6</v>
      </c>
      <c r="G10">
        <v>32</v>
      </c>
      <c r="H10">
        <v>1</v>
      </c>
      <c r="I10" s="3" t="s">
        <v>16</v>
      </c>
      <c r="J10" s="3">
        <v>6.4241305141373717E-3</v>
      </c>
      <c r="K10">
        <f t="shared" si="0"/>
        <v>0.2851605607132407</v>
      </c>
      <c r="L10">
        <f t="shared" si="1"/>
        <v>1.3299755528025281</v>
      </c>
      <c r="M10">
        <f t="shared" si="2"/>
        <v>0.57081094743797389</v>
      </c>
      <c r="N10">
        <f t="shared" si="3"/>
        <v>-0.5606972144498934</v>
      </c>
      <c r="O10">
        <f t="shared" si="4"/>
        <v>0.57081094743797389</v>
      </c>
      <c r="P10">
        <f t="shared" si="5"/>
        <v>0</v>
      </c>
      <c r="S10" t="s">
        <v>29</v>
      </c>
      <c r="T10">
        <f>T3/(T4+T3)</f>
        <v>0.72307692307692306</v>
      </c>
    </row>
    <row r="11" spans="1:22">
      <c r="A11">
        <v>3</v>
      </c>
      <c r="B11">
        <v>126</v>
      </c>
      <c r="C11">
        <v>88</v>
      </c>
      <c r="D11">
        <v>41</v>
      </c>
      <c r="E11">
        <v>235</v>
      </c>
      <c r="F11">
        <v>39.299999999999997</v>
      </c>
      <c r="G11">
        <v>27</v>
      </c>
      <c r="H11">
        <v>0</v>
      </c>
      <c r="K11">
        <f t="shared" si="0"/>
        <v>0.39819359557852496</v>
      </c>
      <c r="L11">
        <f t="shared" si="1"/>
        <v>1.4891322914307588</v>
      </c>
      <c r="M11">
        <f t="shared" si="2"/>
        <v>0.40174642522724169</v>
      </c>
      <c r="N11">
        <f t="shared" si="3"/>
        <v>-0.91193417240723462</v>
      </c>
      <c r="O11">
        <f t="shared" si="4"/>
        <v>0.59825357477275831</v>
      </c>
      <c r="P11">
        <f t="shared" si="5"/>
        <v>0</v>
      </c>
      <c r="S11" t="s">
        <v>30</v>
      </c>
      <c r="T11">
        <f>U4/(U4+U3)</f>
        <v>0.81679389312977102</v>
      </c>
    </row>
    <row r="12" spans="1:22">
      <c r="A12">
        <v>11</v>
      </c>
      <c r="B12">
        <v>143</v>
      </c>
      <c r="C12">
        <v>94</v>
      </c>
      <c r="D12">
        <v>33</v>
      </c>
      <c r="E12">
        <v>146</v>
      </c>
      <c r="F12">
        <v>36.6</v>
      </c>
      <c r="G12">
        <v>51</v>
      </c>
      <c r="H12">
        <v>1</v>
      </c>
      <c r="K12">
        <f t="shared" si="0"/>
        <v>0.72103059263803104</v>
      </c>
      <c r="L12">
        <f t="shared" si="1"/>
        <v>2.0565515857895211</v>
      </c>
      <c r="M12">
        <f t="shared" si="2"/>
        <v>0.67283392020956345</v>
      </c>
      <c r="N12">
        <f t="shared" si="3"/>
        <v>-0.39625675511156261</v>
      </c>
      <c r="O12">
        <f t="shared" si="4"/>
        <v>0.67283392020956345</v>
      </c>
      <c r="P12">
        <f t="shared" si="5"/>
        <v>1</v>
      </c>
    </row>
    <row r="13" spans="1:22">
      <c r="A13">
        <v>10</v>
      </c>
      <c r="B13">
        <v>125</v>
      </c>
      <c r="C13">
        <v>70</v>
      </c>
      <c r="D13">
        <v>26</v>
      </c>
      <c r="E13">
        <v>115</v>
      </c>
      <c r="F13">
        <v>31.1</v>
      </c>
      <c r="G13">
        <v>41</v>
      </c>
      <c r="H13">
        <v>1</v>
      </c>
      <c r="K13">
        <f t="shared" si="0"/>
        <v>0.46952520150871913</v>
      </c>
      <c r="L13">
        <f t="shared" si="1"/>
        <v>1.5992346987060544</v>
      </c>
      <c r="M13">
        <f t="shared" si="2"/>
        <v>0.61527137180116209</v>
      </c>
      <c r="N13">
        <f t="shared" si="3"/>
        <v>-0.48569185353872157</v>
      </c>
      <c r="O13">
        <f t="shared" si="4"/>
        <v>0.61527137180116209</v>
      </c>
      <c r="P13">
        <f t="shared" si="5"/>
        <v>1</v>
      </c>
    </row>
    <row r="14" spans="1:22">
      <c r="A14">
        <v>1</v>
      </c>
      <c r="B14">
        <v>97</v>
      </c>
      <c r="C14">
        <v>66</v>
      </c>
      <c r="D14">
        <v>15</v>
      </c>
      <c r="E14">
        <v>140</v>
      </c>
      <c r="F14">
        <v>23.2</v>
      </c>
      <c r="G14">
        <v>22</v>
      </c>
      <c r="H14">
        <v>0</v>
      </c>
      <c r="K14">
        <f t="shared" si="0"/>
        <v>-4.6364989186861133E-2</v>
      </c>
      <c r="L14">
        <f t="shared" si="1"/>
        <v>0.95469344580774107</v>
      </c>
      <c r="M14">
        <f t="shared" si="2"/>
        <v>0.5115891712558378</v>
      </c>
      <c r="N14">
        <f t="shared" si="3"/>
        <v>-0.67023337592867449</v>
      </c>
      <c r="O14">
        <f t="shared" si="4"/>
        <v>0.48841082874416225</v>
      </c>
      <c r="P14">
        <f t="shared" si="5"/>
        <v>0</v>
      </c>
    </row>
    <row r="15" spans="1:22">
      <c r="A15">
        <v>13</v>
      </c>
      <c r="B15">
        <v>145</v>
      </c>
      <c r="C15">
        <v>82</v>
      </c>
      <c r="D15">
        <v>19</v>
      </c>
      <c r="E15">
        <v>110</v>
      </c>
      <c r="F15">
        <v>22.2</v>
      </c>
      <c r="G15">
        <v>57</v>
      </c>
      <c r="H15">
        <v>0</v>
      </c>
      <c r="K15">
        <f t="shared" si="0"/>
        <v>0.62988626110355239</v>
      </c>
      <c r="L15">
        <f t="shared" si="1"/>
        <v>1.8773970340535278</v>
      </c>
      <c r="M15">
        <f t="shared" si="2"/>
        <v>0.34753632820398506</v>
      </c>
      <c r="N15">
        <f t="shared" si="3"/>
        <v>-1.0568860778471802</v>
      </c>
      <c r="O15">
        <f t="shared" si="4"/>
        <v>0.65246367179601494</v>
      </c>
      <c r="P15">
        <f t="shared" si="5"/>
        <v>1</v>
      </c>
    </row>
    <row r="16" spans="1:22">
      <c r="A16">
        <v>3</v>
      </c>
      <c r="B16">
        <v>158</v>
      </c>
      <c r="C16">
        <v>76</v>
      </c>
      <c r="D16">
        <v>36</v>
      </c>
      <c r="E16">
        <v>245</v>
      </c>
      <c r="F16">
        <v>31.6</v>
      </c>
      <c r="G16">
        <v>28</v>
      </c>
      <c r="H16">
        <v>1</v>
      </c>
      <c r="K16">
        <f t="shared" si="0"/>
        <v>0.52928756986313674</v>
      </c>
      <c r="L16">
        <f t="shared" si="1"/>
        <v>1.6977223690912677</v>
      </c>
      <c r="M16">
        <f t="shared" si="2"/>
        <v>0.62931693362617902</v>
      </c>
      <c r="N16">
        <f t="shared" si="3"/>
        <v>-0.46312028014104573</v>
      </c>
      <c r="O16">
        <f t="shared" si="4"/>
        <v>0.62931693362617902</v>
      </c>
      <c r="P16">
        <f t="shared" si="5"/>
        <v>1</v>
      </c>
    </row>
    <row r="17" spans="1:16">
      <c r="A17">
        <v>3</v>
      </c>
      <c r="B17">
        <v>88</v>
      </c>
      <c r="C17">
        <v>58</v>
      </c>
      <c r="D17">
        <v>11</v>
      </c>
      <c r="E17">
        <v>54</v>
      </c>
      <c r="F17">
        <v>24.8</v>
      </c>
      <c r="G17">
        <v>22</v>
      </c>
      <c r="H17">
        <v>0</v>
      </c>
      <c r="K17">
        <f t="shared" si="0"/>
        <v>-6.1898283254145314E-2</v>
      </c>
      <c r="L17">
        <f t="shared" si="1"/>
        <v>0.93997849348213613</v>
      </c>
      <c r="M17">
        <f t="shared" si="2"/>
        <v>0.51546963193651929</v>
      </c>
      <c r="N17">
        <f t="shared" si="3"/>
        <v>-0.66267688717983808</v>
      </c>
      <c r="O17">
        <f t="shared" si="4"/>
        <v>0.48453036806348071</v>
      </c>
      <c r="P17">
        <f t="shared" si="5"/>
        <v>0</v>
      </c>
    </row>
    <row r="18" spans="1:16">
      <c r="A18">
        <v>4</v>
      </c>
      <c r="B18">
        <v>103</v>
      </c>
      <c r="C18">
        <v>60</v>
      </c>
      <c r="D18">
        <v>33</v>
      </c>
      <c r="E18">
        <v>192</v>
      </c>
      <c r="F18">
        <v>24</v>
      </c>
      <c r="G18">
        <v>33</v>
      </c>
      <c r="H18">
        <v>0</v>
      </c>
      <c r="K18">
        <f t="shared" si="0"/>
        <v>0.14229669823221705</v>
      </c>
      <c r="L18">
        <f t="shared" si="1"/>
        <v>1.1529186667267077</v>
      </c>
      <c r="M18">
        <f t="shared" si="2"/>
        <v>0.46448573067574239</v>
      </c>
      <c r="N18">
        <f t="shared" si="3"/>
        <v>-0.76682444095092872</v>
      </c>
      <c r="O18">
        <f t="shared" si="4"/>
        <v>0.53551426932425761</v>
      </c>
      <c r="P18">
        <f t="shared" si="5"/>
        <v>0</v>
      </c>
    </row>
    <row r="19" spans="1:16">
      <c r="A19">
        <v>4</v>
      </c>
      <c r="B19">
        <v>111</v>
      </c>
      <c r="C19">
        <v>72</v>
      </c>
      <c r="D19">
        <v>47</v>
      </c>
      <c r="E19">
        <v>207</v>
      </c>
      <c r="F19">
        <v>37.1</v>
      </c>
      <c r="G19">
        <v>56</v>
      </c>
      <c r="H19">
        <v>1</v>
      </c>
      <c r="K19">
        <f t="shared" si="0"/>
        <v>0.49787646131406182</v>
      </c>
      <c r="L19">
        <f t="shared" si="1"/>
        <v>1.645223862055019</v>
      </c>
      <c r="M19">
        <f t="shared" si="2"/>
        <v>0.62196016210774652</v>
      </c>
      <c r="N19">
        <f t="shared" si="3"/>
        <v>-0.47487923635240742</v>
      </c>
      <c r="O19">
        <f t="shared" si="4"/>
        <v>0.62196016210774652</v>
      </c>
      <c r="P19">
        <f t="shared" si="5"/>
        <v>1</v>
      </c>
    </row>
    <row r="20" spans="1:16">
      <c r="A20">
        <v>3</v>
      </c>
      <c r="B20">
        <v>180</v>
      </c>
      <c r="C20">
        <v>64</v>
      </c>
      <c r="D20">
        <v>25</v>
      </c>
      <c r="E20">
        <v>70</v>
      </c>
      <c r="F20">
        <v>34</v>
      </c>
      <c r="G20">
        <v>26</v>
      </c>
      <c r="H20">
        <v>0</v>
      </c>
      <c r="K20">
        <f t="shared" si="0"/>
        <v>0.68374327995133577</v>
      </c>
      <c r="L20">
        <f t="shared" si="1"/>
        <v>1.9812803555737843</v>
      </c>
      <c r="M20">
        <f t="shared" si="2"/>
        <v>0.33542635402618404</v>
      </c>
      <c r="N20">
        <f t="shared" si="3"/>
        <v>-1.0923528577657906</v>
      </c>
      <c r="O20">
        <f t="shared" si="4"/>
        <v>0.66457364597381596</v>
      </c>
      <c r="P20">
        <f t="shared" si="5"/>
        <v>1</v>
      </c>
    </row>
    <row r="21" spans="1:16">
      <c r="A21">
        <v>9</v>
      </c>
      <c r="B21">
        <v>171</v>
      </c>
      <c r="C21">
        <v>110</v>
      </c>
      <c r="D21">
        <v>24</v>
      </c>
      <c r="E21">
        <v>240</v>
      </c>
      <c r="F21">
        <v>45.4</v>
      </c>
      <c r="G21">
        <v>54</v>
      </c>
      <c r="H21">
        <v>1</v>
      </c>
      <c r="K21">
        <f t="shared" si="0"/>
        <v>0.95364285047188735</v>
      </c>
      <c r="L21">
        <f t="shared" si="1"/>
        <v>2.5951461904689195</v>
      </c>
      <c r="M21">
        <f t="shared" si="2"/>
        <v>0.72184719423897237</v>
      </c>
      <c r="N21">
        <f t="shared" si="3"/>
        <v>-0.32594180481700202</v>
      </c>
      <c r="O21">
        <f t="shared" si="4"/>
        <v>0.72184719423897237</v>
      </c>
      <c r="P21">
        <f t="shared" si="5"/>
        <v>1</v>
      </c>
    </row>
    <row r="22" spans="1:16">
      <c r="A22">
        <v>1</v>
      </c>
      <c r="B22">
        <v>103</v>
      </c>
      <c r="C22">
        <v>80</v>
      </c>
      <c r="D22">
        <v>11</v>
      </c>
      <c r="E22">
        <v>82</v>
      </c>
      <c r="F22">
        <v>19.399999999999999</v>
      </c>
      <c r="G22">
        <v>22</v>
      </c>
      <c r="H22">
        <v>0</v>
      </c>
      <c r="K22">
        <f t="shared" si="0"/>
        <v>-5.3559185758341038E-2</v>
      </c>
      <c r="L22">
        <f t="shared" si="1"/>
        <v>0.94784984013205154</v>
      </c>
      <c r="M22">
        <f t="shared" si="2"/>
        <v>0.51338659654186003</v>
      </c>
      <c r="N22">
        <f t="shared" si="3"/>
        <v>-0.66672611812808624</v>
      </c>
      <c r="O22">
        <f t="shared" si="4"/>
        <v>0.48661340345813997</v>
      </c>
      <c r="P22">
        <f t="shared" si="5"/>
        <v>0</v>
      </c>
    </row>
    <row r="23" spans="1:16">
      <c r="A23">
        <v>1</v>
      </c>
      <c r="B23">
        <v>101</v>
      </c>
      <c r="C23">
        <v>50</v>
      </c>
      <c r="D23">
        <v>15</v>
      </c>
      <c r="E23">
        <v>36</v>
      </c>
      <c r="F23">
        <v>24.2</v>
      </c>
      <c r="G23">
        <v>26</v>
      </c>
      <c r="H23">
        <v>0</v>
      </c>
      <c r="K23">
        <f t="shared" si="0"/>
        <v>3.2406621796256418E-2</v>
      </c>
      <c r="L23">
        <f t="shared" si="1"/>
        <v>1.0329374347982483</v>
      </c>
      <c r="M23">
        <f t="shared" si="2"/>
        <v>0.49189905349902796</v>
      </c>
      <c r="N23">
        <f t="shared" si="3"/>
        <v>-0.7094817593562498</v>
      </c>
      <c r="O23">
        <f t="shared" si="4"/>
        <v>0.50810094650097204</v>
      </c>
      <c r="P23">
        <f t="shared" si="5"/>
        <v>0</v>
      </c>
    </row>
    <row r="24" spans="1:16">
      <c r="A24">
        <v>5</v>
      </c>
      <c r="B24">
        <v>88</v>
      </c>
      <c r="C24">
        <v>66</v>
      </c>
      <c r="D24">
        <v>21</v>
      </c>
      <c r="E24">
        <v>23</v>
      </c>
      <c r="F24">
        <v>24.4</v>
      </c>
      <c r="G24">
        <v>30</v>
      </c>
      <c r="H24">
        <v>0</v>
      </c>
      <c r="K24">
        <f t="shared" si="0"/>
        <v>3.0297265522154143E-2</v>
      </c>
      <c r="L24">
        <f t="shared" si="1"/>
        <v>1.0307608980921004</v>
      </c>
      <c r="M24">
        <f t="shared" si="2"/>
        <v>0.49242626295370362</v>
      </c>
      <c r="N24">
        <f t="shared" si="3"/>
        <v>-0.7084105494700923</v>
      </c>
      <c r="O24">
        <f t="shared" si="4"/>
        <v>0.50757373704629638</v>
      </c>
      <c r="P24">
        <f t="shared" si="5"/>
        <v>0</v>
      </c>
    </row>
    <row r="25" spans="1:16">
      <c r="A25">
        <v>8</v>
      </c>
      <c r="B25">
        <v>176</v>
      </c>
      <c r="C25">
        <v>90</v>
      </c>
      <c r="D25">
        <v>34</v>
      </c>
      <c r="E25">
        <v>300</v>
      </c>
      <c r="F25">
        <v>33.700000000000003</v>
      </c>
      <c r="G25">
        <v>58</v>
      </c>
      <c r="H25">
        <v>1</v>
      </c>
      <c r="K25">
        <f t="shared" si="0"/>
        <v>0.90496191532410464</v>
      </c>
      <c r="L25">
        <f t="shared" si="1"/>
        <v>2.4718377821240214</v>
      </c>
      <c r="M25">
        <f t="shared" si="2"/>
        <v>0.7119681094696152</v>
      </c>
      <c r="N25">
        <f t="shared" si="3"/>
        <v>-0.33972215864403166</v>
      </c>
      <c r="O25">
        <f t="shared" si="4"/>
        <v>0.7119681094696152</v>
      </c>
      <c r="P25">
        <f t="shared" si="5"/>
        <v>1</v>
      </c>
    </row>
    <row r="26" spans="1:16">
      <c r="A26">
        <v>7</v>
      </c>
      <c r="B26">
        <v>150</v>
      </c>
      <c r="C26">
        <v>66</v>
      </c>
      <c r="D26">
        <v>42</v>
      </c>
      <c r="E26">
        <v>342</v>
      </c>
      <c r="F26">
        <v>34.700000000000003</v>
      </c>
      <c r="G26">
        <v>42</v>
      </c>
      <c r="H26">
        <v>0</v>
      </c>
      <c r="K26">
        <f t="shared" si="0"/>
        <v>0.65246443869664295</v>
      </c>
      <c r="L26">
        <f t="shared" si="1"/>
        <v>1.9202673837178639</v>
      </c>
      <c r="M26">
        <f t="shared" si="2"/>
        <v>0.34243439678693921</v>
      </c>
      <c r="N26">
        <f t="shared" si="3"/>
        <v>-1.0716751818543271</v>
      </c>
      <c r="O26">
        <f t="shared" si="4"/>
        <v>0.65756560321306079</v>
      </c>
      <c r="P26">
        <f t="shared" si="5"/>
        <v>1</v>
      </c>
    </row>
    <row r="27" spans="1:16">
      <c r="A27">
        <v>7</v>
      </c>
      <c r="B27">
        <v>187</v>
      </c>
      <c r="C27">
        <v>68</v>
      </c>
      <c r="D27">
        <v>39</v>
      </c>
      <c r="E27">
        <v>304</v>
      </c>
      <c r="F27">
        <v>37.700000000000003</v>
      </c>
      <c r="G27">
        <v>41</v>
      </c>
      <c r="H27">
        <v>1</v>
      </c>
      <c r="K27">
        <f t="shared" si="0"/>
        <v>0.91497128020395502</v>
      </c>
      <c r="L27">
        <f t="shared" si="1"/>
        <v>2.4967035460585767</v>
      </c>
      <c r="M27">
        <f t="shared" si="2"/>
        <v>0.71401636231725085</v>
      </c>
      <c r="N27">
        <f t="shared" si="3"/>
        <v>-0.33684940049441414</v>
      </c>
      <c r="O27">
        <f t="shared" si="4"/>
        <v>0.71401636231725085</v>
      </c>
      <c r="P27">
        <f t="shared" si="5"/>
        <v>1</v>
      </c>
    </row>
    <row r="28" spans="1:16">
      <c r="A28">
        <v>0</v>
      </c>
      <c r="B28">
        <v>100</v>
      </c>
      <c r="C28">
        <v>88</v>
      </c>
      <c r="D28">
        <v>60</v>
      </c>
      <c r="E28">
        <v>110</v>
      </c>
      <c r="F28">
        <v>46.8</v>
      </c>
      <c r="G28">
        <v>31</v>
      </c>
      <c r="H28">
        <v>0</v>
      </c>
      <c r="K28">
        <f t="shared" si="0"/>
        <v>0.3467248518944715</v>
      </c>
      <c r="L28">
        <f t="shared" si="1"/>
        <v>1.4144274947792583</v>
      </c>
      <c r="M28">
        <f t="shared" si="2"/>
        <v>0.41417686062733727</v>
      </c>
      <c r="N28">
        <f t="shared" si="3"/>
        <v>-0.8814621967976447</v>
      </c>
      <c r="O28">
        <f t="shared" si="4"/>
        <v>0.58582313937266273</v>
      </c>
      <c r="P28">
        <f t="shared" si="5"/>
        <v>0</v>
      </c>
    </row>
    <row r="29" spans="1:16">
      <c r="A29">
        <v>0</v>
      </c>
      <c r="B29">
        <v>105</v>
      </c>
      <c r="C29">
        <v>64</v>
      </c>
      <c r="D29">
        <v>41</v>
      </c>
      <c r="E29">
        <v>142</v>
      </c>
      <c r="F29">
        <v>41.5</v>
      </c>
      <c r="G29">
        <v>22</v>
      </c>
      <c r="H29">
        <v>0</v>
      </c>
      <c r="K29">
        <f t="shared" si="0"/>
        <v>0.2342145599265969</v>
      </c>
      <c r="L29">
        <f t="shared" si="1"/>
        <v>1.2639156487658958</v>
      </c>
      <c r="M29">
        <f t="shared" si="2"/>
        <v>0.44171257022986676</v>
      </c>
      <c r="N29">
        <f t="shared" si="3"/>
        <v>-0.81709590203461746</v>
      </c>
      <c r="O29">
        <f t="shared" si="4"/>
        <v>0.55828742977013324</v>
      </c>
      <c r="P29">
        <f t="shared" si="5"/>
        <v>0</v>
      </c>
    </row>
    <row r="30" spans="1:16">
      <c r="A30">
        <v>2</v>
      </c>
      <c r="B30">
        <v>141</v>
      </c>
      <c r="C30">
        <v>58</v>
      </c>
      <c r="D30">
        <v>34</v>
      </c>
      <c r="E30">
        <v>128</v>
      </c>
      <c r="F30">
        <v>25.4</v>
      </c>
      <c r="G30">
        <v>24</v>
      </c>
      <c r="H30">
        <v>0</v>
      </c>
      <c r="K30">
        <f t="shared" si="0"/>
        <v>0.33270255783207825</v>
      </c>
      <c r="L30">
        <f t="shared" si="1"/>
        <v>1.3947323845422845</v>
      </c>
      <c r="M30">
        <f t="shared" si="2"/>
        <v>0.41758319487174522</v>
      </c>
      <c r="N30">
        <f t="shared" si="3"/>
        <v>-0.87327148538880683</v>
      </c>
      <c r="O30">
        <f t="shared" si="4"/>
        <v>0.58241680512825478</v>
      </c>
      <c r="P30">
        <f t="shared" si="5"/>
        <v>0</v>
      </c>
    </row>
    <row r="31" spans="1:16">
      <c r="A31">
        <v>1</v>
      </c>
      <c r="B31">
        <v>95</v>
      </c>
      <c r="C31">
        <v>66</v>
      </c>
      <c r="D31">
        <v>13</v>
      </c>
      <c r="E31">
        <v>38</v>
      </c>
      <c r="F31">
        <v>19.600000000000001</v>
      </c>
      <c r="G31">
        <v>25</v>
      </c>
      <c r="H31">
        <v>0</v>
      </c>
      <c r="K31">
        <f t="shared" si="0"/>
        <v>-7.0391068932682849E-2</v>
      </c>
      <c r="L31">
        <f t="shared" si="1"/>
        <v>0.93202926093844685</v>
      </c>
      <c r="M31">
        <f t="shared" si="2"/>
        <v>0.51759050456320144</v>
      </c>
      <c r="N31">
        <f t="shared" si="3"/>
        <v>-0.65857088108891049</v>
      </c>
      <c r="O31">
        <f t="shared" si="4"/>
        <v>0.48240949543679851</v>
      </c>
      <c r="P31">
        <f t="shared" si="5"/>
        <v>0</v>
      </c>
    </row>
    <row r="32" spans="1:16">
      <c r="A32">
        <v>4</v>
      </c>
      <c r="B32">
        <v>146</v>
      </c>
      <c r="C32">
        <v>85</v>
      </c>
      <c r="D32">
        <v>27</v>
      </c>
      <c r="E32">
        <v>100</v>
      </c>
      <c r="F32">
        <v>28.9</v>
      </c>
      <c r="G32">
        <v>27</v>
      </c>
      <c r="H32">
        <v>0</v>
      </c>
      <c r="K32">
        <f t="shared" si="0"/>
        <v>0.4211827051858994</v>
      </c>
      <c r="L32">
        <f t="shared" si="1"/>
        <v>1.5237626523164594</v>
      </c>
      <c r="M32">
        <f t="shared" si="2"/>
        <v>0.3962337738384949</v>
      </c>
      <c r="N32">
        <f t="shared" si="3"/>
        <v>-0.9257509039325752</v>
      </c>
      <c r="O32">
        <f t="shared" si="4"/>
        <v>0.6037662261615051</v>
      </c>
      <c r="P32">
        <f t="shared" si="5"/>
        <v>1</v>
      </c>
    </row>
    <row r="33" spans="1:16">
      <c r="A33">
        <v>2</v>
      </c>
      <c r="B33">
        <v>100</v>
      </c>
      <c r="C33">
        <v>66</v>
      </c>
      <c r="D33">
        <v>20</v>
      </c>
      <c r="E33">
        <v>90</v>
      </c>
      <c r="F33">
        <v>32.9</v>
      </c>
      <c r="G33">
        <v>28</v>
      </c>
      <c r="H33">
        <v>1</v>
      </c>
      <c r="K33">
        <f t="shared" si="0"/>
        <v>0.13718357197599634</v>
      </c>
      <c r="L33">
        <f t="shared" si="1"/>
        <v>1.1470386933542247</v>
      </c>
      <c r="M33">
        <f t="shared" si="2"/>
        <v>0.53424220853805671</v>
      </c>
      <c r="N33">
        <f t="shared" si="3"/>
        <v>-0.62690596881424909</v>
      </c>
      <c r="O33">
        <f t="shared" si="4"/>
        <v>0.53424220853805671</v>
      </c>
      <c r="P33">
        <f t="shared" si="5"/>
        <v>0</v>
      </c>
    </row>
    <row r="34" spans="1:16">
      <c r="A34">
        <v>5</v>
      </c>
      <c r="B34">
        <v>139</v>
      </c>
      <c r="C34">
        <v>64</v>
      </c>
      <c r="D34">
        <v>35</v>
      </c>
      <c r="E34">
        <v>140</v>
      </c>
      <c r="F34">
        <v>28.6</v>
      </c>
      <c r="G34">
        <v>26</v>
      </c>
      <c r="H34">
        <v>0</v>
      </c>
      <c r="K34">
        <f t="shared" si="0"/>
        <v>0.39892348304073899</v>
      </c>
      <c r="L34">
        <f t="shared" si="1"/>
        <v>1.4902195871733472</v>
      </c>
      <c r="M34">
        <f t="shared" si="2"/>
        <v>0.40157101211106516</v>
      </c>
      <c r="N34">
        <f t="shared" si="3"/>
        <v>-0.912370894208135</v>
      </c>
      <c r="O34">
        <f t="shared" si="4"/>
        <v>0.59842898788893484</v>
      </c>
      <c r="P34">
        <f t="shared" si="5"/>
        <v>0</v>
      </c>
    </row>
    <row r="35" spans="1:16">
      <c r="A35">
        <v>4</v>
      </c>
      <c r="B35">
        <v>129</v>
      </c>
      <c r="C35">
        <v>86</v>
      </c>
      <c r="D35">
        <v>20</v>
      </c>
      <c r="E35">
        <v>270</v>
      </c>
      <c r="F35">
        <v>35.1</v>
      </c>
      <c r="G35">
        <v>23</v>
      </c>
      <c r="H35">
        <v>0</v>
      </c>
      <c r="K35">
        <f t="shared" si="0"/>
        <v>0.31452439553340544</v>
      </c>
      <c r="L35">
        <f t="shared" si="1"/>
        <v>1.3696077644598064</v>
      </c>
      <c r="M35">
        <f t="shared" si="2"/>
        <v>0.42201077114885621</v>
      </c>
      <c r="N35">
        <f t="shared" si="3"/>
        <v>-0.86272444122243597</v>
      </c>
      <c r="O35">
        <f t="shared" si="4"/>
        <v>0.57798922885114379</v>
      </c>
      <c r="P35">
        <f t="shared" si="5"/>
        <v>0</v>
      </c>
    </row>
    <row r="36" spans="1:16">
      <c r="A36">
        <v>7</v>
      </c>
      <c r="B36">
        <v>83</v>
      </c>
      <c r="C36">
        <v>78</v>
      </c>
      <c r="D36">
        <v>26</v>
      </c>
      <c r="E36">
        <v>71</v>
      </c>
      <c r="F36">
        <v>29.3</v>
      </c>
      <c r="G36">
        <v>36</v>
      </c>
      <c r="H36">
        <v>0</v>
      </c>
      <c r="K36">
        <f t="shared" si="0"/>
        <v>0.11031822601600721</v>
      </c>
      <c r="L36">
        <f t="shared" si="1"/>
        <v>1.1166333557094963</v>
      </c>
      <c r="M36">
        <f t="shared" si="2"/>
        <v>0.47244838001941036</v>
      </c>
      <c r="N36">
        <f t="shared" si="3"/>
        <v>-0.74982678665257507</v>
      </c>
      <c r="O36">
        <f t="shared" si="4"/>
        <v>0.52755161998058964</v>
      </c>
      <c r="P36">
        <f t="shared" si="5"/>
        <v>0</v>
      </c>
    </row>
    <row r="37" spans="1:16">
      <c r="A37">
        <v>2</v>
      </c>
      <c r="B37">
        <v>110</v>
      </c>
      <c r="C37">
        <v>74</v>
      </c>
      <c r="D37">
        <v>29</v>
      </c>
      <c r="E37">
        <v>125</v>
      </c>
      <c r="F37">
        <v>32.4</v>
      </c>
      <c r="G37">
        <v>27</v>
      </c>
      <c r="H37">
        <v>0</v>
      </c>
      <c r="K37">
        <f t="shared" si="0"/>
        <v>0.20339523496835998</v>
      </c>
      <c r="L37">
        <f t="shared" si="1"/>
        <v>1.2255567554230347</v>
      </c>
      <c r="M37">
        <f t="shared" si="2"/>
        <v>0.44932576873777341</v>
      </c>
      <c r="N37">
        <f t="shared" si="3"/>
        <v>-0.8000071114730305</v>
      </c>
      <c r="O37">
        <f t="shared" si="4"/>
        <v>0.55067423126222659</v>
      </c>
      <c r="P37">
        <f t="shared" si="5"/>
        <v>0</v>
      </c>
    </row>
    <row r="38" spans="1:16">
      <c r="A38">
        <v>2</v>
      </c>
      <c r="B38">
        <v>100</v>
      </c>
      <c r="C38">
        <v>68</v>
      </c>
      <c r="D38">
        <v>25</v>
      </c>
      <c r="E38">
        <v>71</v>
      </c>
      <c r="F38">
        <v>38.5</v>
      </c>
      <c r="G38">
        <v>26</v>
      </c>
      <c r="H38">
        <v>0</v>
      </c>
      <c r="K38">
        <f t="shared" si="0"/>
        <v>0.19254366185070354</v>
      </c>
      <c r="L38">
        <f t="shared" si="1"/>
        <v>1.2123294350986931</v>
      </c>
      <c r="M38">
        <f t="shared" si="2"/>
        <v>0.4520122474234447</v>
      </c>
      <c r="N38">
        <f t="shared" si="3"/>
        <v>-0.79404600344742982</v>
      </c>
      <c r="O38">
        <f t="shared" si="4"/>
        <v>0.5479877525765553</v>
      </c>
      <c r="P38">
        <f t="shared" si="5"/>
        <v>0</v>
      </c>
    </row>
    <row r="39" spans="1:16">
      <c r="A39">
        <v>15</v>
      </c>
      <c r="B39">
        <v>136</v>
      </c>
      <c r="C39">
        <v>70</v>
      </c>
      <c r="D39">
        <v>32</v>
      </c>
      <c r="E39">
        <v>110</v>
      </c>
      <c r="F39">
        <v>37.1</v>
      </c>
      <c r="G39">
        <v>43</v>
      </c>
      <c r="H39">
        <v>1</v>
      </c>
      <c r="K39">
        <f t="shared" si="0"/>
        <v>0.68738280061766965</v>
      </c>
      <c r="L39">
        <f t="shared" si="1"/>
        <v>1.9885044044370519</v>
      </c>
      <c r="M39">
        <f t="shared" si="2"/>
        <v>0.66538446504703375</v>
      </c>
      <c r="N39">
        <f t="shared" si="3"/>
        <v>-0.40739026245864846</v>
      </c>
      <c r="O39">
        <f t="shared" si="4"/>
        <v>0.66538446504703375</v>
      </c>
      <c r="P39">
        <f t="shared" si="5"/>
        <v>1</v>
      </c>
    </row>
    <row r="40" spans="1:16">
      <c r="A40">
        <v>4</v>
      </c>
      <c r="B40">
        <v>123</v>
      </c>
      <c r="C40">
        <v>80</v>
      </c>
      <c r="D40">
        <v>15</v>
      </c>
      <c r="E40">
        <v>176</v>
      </c>
      <c r="F40">
        <v>32</v>
      </c>
      <c r="G40">
        <v>34</v>
      </c>
      <c r="H40">
        <v>0</v>
      </c>
      <c r="K40">
        <f t="shared" si="0"/>
        <v>0.31600368179297994</v>
      </c>
      <c r="L40">
        <f t="shared" si="1"/>
        <v>1.3716353056939856</v>
      </c>
      <c r="M40">
        <f t="shared" si="2"/>
        <v>0.42164998876476967</v>
      </c>
      <c r="N40">
        <f t="shared" si="3"/>
        <v>-0.86357971960735502</v>
      </c>
      <c r="O40">
        <f t="shared" si="4"/>
        <v>0.57835001123523033</v>
      </c>
      <c r="P40">
        <f t="shared" si="5"/>
        <v>0</v>
      </c>
    </row>
    <row r="41" spans="1:16">
      <c r="A41">
        <v>7</v>
      </c>
      <c r="B41">
        <v>81</v>
      </c>
      <c r="C41">
        <v>78</v>
      </c>
      <c r="D41">
        <v>40</v>
      </c>
      <c r="E41">
        <v>48</v>
      </c>
      <c r="F41">
        <v>46.7</v>
      </c>
      <c r="G41">
        <v>42</v>
      </c>
      <c r="H41">
        <v>0</v>
      </c>
      <c r="K41">
        <f t="shared" si="0"/>
        <v>0.34327275859853179</v>
      </c>
      <c r="L41">
        <f t="shared" si="1"/>
        <v>1.4095531772469574</v>
      </c>
      <c r="M41">
        <f t="shared" si="2"/>
        <v>0.41501470456964684</v>
      </c>
      <c r="N41">
        <f t="shared" si="3"/>
        <v>-0.87944132668121777</v>
      </c>
      <c r="O41">
        <f t="shared" si="4"/>
        <v>0.58498529543035316</v>
      </c>
      <c r="P41">
        <f t="shared" si="5"/>
        <v>0</v>
      </c>
    </row>
    <row r="42" spans="1:16">
      <c r="A42">
        <v>2</v>
      </c>
      <c r="B42">
        <v>142</v>
      </c>
      <c r="C42">
        <v>82</v>
      </c>
      <c r="D42">
        <v>18</v>
      </c>
      <c r="E42">
        <v>64</v>
      </c>
      <c r="F42">
        <v>24.7</v>
      </c>
      <c r="G42">
        <v>21</v>
      </c>
      <c r="H42">
        <v>0</v>
      </c>
      <c r="K42">
        <f t="shared" si="0"/>
        <v>0.27618535217771578</v>
      </c>
      <c r="L42">
        <f t="shared" si="1"/>
        <v>1.3180921526378124</v>
      </c>
      <c r="M42">
        <f t="shared" si="2"/>
        <v>0.43138923483351443</v>
      </c>
      <c r="N42">
        <f t="shared" si="3"/>
        <v>-0.84074449936367102</v>
      </c>
      <c r="O42">
        <f t="shared" si="4"/>
        <v>0.56861076516648557</v>
      </c>
      <c r="P42">
        <f t="shared" si="5"/>
        <v>0</v>
      </c>
    </row>
    <row r="43" spans="1:16">
      <c r="A43">
        <v>6</v>
      </c>
      <c r="B43">
        <v>144</v>
      </c>
      <c r="C43">
        <v>72</v>
      </c>
      <c r="D43">
        <v>27</v>
      </c>
      <c r="E43">
        <v>228</v>
      </c>
      <c r="F43">
        <v>33.9</v>
      </c>
      <c r="G43">
        <v>40</v>
      </c>
      <c r="H43">
        <v>0</v>
      </c>
      <c r="K43">
        <f t="shared" si="0"/>
        <v>0.5579760716408031</v>
      </c>
      <c r="L43">
        <f t="shared" si="1"/>
        <v>1.7471328477849208</v>
      </c>
      <c r="M43">
        <f t="shared" si="2"/>
        <v>0.36401588689324726</v>
      </c>
      <c r="N43">
        <f t="shared" si="3"/>
        <v>-1.0105577669867065</v>
      </c>
      <c r="O43">
        <f t="shared" si="4"/>
        <v>0.63598411310675274</v>
      </c>
      <c r="P43">
        <f t="shared" si="5"/>
        <v>1</v>
      </c>
    </row>
    <row r="44" spans="1:16">
      <c r="A44">
        <v>1</v>
      </c>
      <c r="B44">
        <v>71</v>
      </c>
      <c r="C44">
        <v>48</v>
      </c>
      <c r="D44">
        <v>18</v>
      </c>
      <c r="E44">
        <v>76</v>
      </c>
      <c r="F44">
        <v>20.399999999999999</v>
      </c>
      <c r="G44">
        <v>22</v>
      </c>
      <c r="H44">
        <v>0</v>
      </c>
      <c r="K44">
        <f t="shared" si="0"/>
        <v>-0.22472911358858727</v>
      </c>
      <c r="L44">
        <f t="shared" si="1"/>
        <v>0.7987325552523169</v>
      </c>
      <c r="M44">
        <f t="shared" si="2"/>
        <v>0.55594701784875689</v>
      </c>
      <c r="N44">
        <f t="shared" si="3"/>
        <v>-0.58708228091101777</v>
      </c>
      <c r="O44">
        <f t="shared" si="4"/>
        <v>0.44405298215124311</v>
      </c>
      <c r="P44">
        <f t="shared" si="5"/>
        <v>0</v>
      </c>
    </row>
    <row r="45" spans="1:16">
      <c r="A45">
        <v>6</v>
      </c>
      <c r="B45">
        <v>93</v>
      </c>
      <c r="C45">
        <v>50</v>
      </c>
      <c r="D45">
        <v>30</v>
      </c>
      <c r="E45">
        <v>64</v>
      </c>
      <c r="F45">
        <v>28.7</v>
      </c>
      <c r="G45">
        <v>23</v>
      </c>
      <c r="H45">
        <v>0</v>
      </c>
      <c r="K45">
        <f t="shared" si="0"/>
        <v>9.4422931684673861E-2</v>
      </c>
      <c r="L45">
        <f t="shared" si="1"/>
        <v>1.0990244599054373</v>
      </c>
      <c r="M45">
        <f t="shared" si="2"/>
        <v>0.47641178990598843</v>
      </c>
      <c r="N45">
        <f t="shared" si="3"/>
        <v>-0.74147269389372283</v>
      </c>
      <c r="O45">
        <f t="shared" si="4"/>
        <v>0.52358821009401157</v>
      </c>
      <c r="P45">
        <f t="shared" si="5"/>
        <v>0</v>
      </c>
    </row>
    <row r="46" spans="1:16">
      <c r="A46">
        <v>1</v>
      </c>
      <c r="B46">
        <v>122</v>
      </c>
      <c r="C46">
        <v>90</v>
      </c>
      <c r="D46">
        <v>51</v>
      </c>
      <c r="E46">
        <v>220</v>
      </c>
      <c r="F46">
        <v>49.7</v>
      </c>
      <c r="G46">
        <v>31</v>
      </c>
      <c r="H46">
        <v>1</v>
      </c>
      <c r="K46">
        <f t="shared" si="0"/>
        <v>0.50079054043610505</v>
      </c>
      <c r="L46">
        <f t="shared" si="1"/>
        <v>1.6500251668558947</v>
      </c>
      <c r="M46">
        <f t="shared" si="2"/>
        <v>0.62264509314587246</v>
      </c>
      <c r="N46">
        <f t="shared" si="3"/>
        <v>-0.47377859644368292</v>
      </c>
      <c r="O46">
        <f t="shared" si="4"/>
        <v>0.62264509314587246</v>
      </c>
      <c r="P46">
        <f t="shared" si="5"/>
        <v>1</v>
      </c>
    </row>
    <row r="47" spans="1:16">
      <c r="A47">
        <v>1</v>
      </c>
      <c r="B47">
        <v>81</v>
      </c>
      <c r="C47">
        <v>72</v>
      </c>
      <c r="D47">
        <v>18</v>
      </c>
      <c r="E47">
        <v>40</v>
      </c>
      <c r="F47">
        <v>26.6</v>
      </c>
      <c r="G47">
        <v>24</v>
      </c>
      <c r="H47">
        <v>0</v>
      </c>
      <c r="K47">
        <f t="shared" si="0"/>
        <v>-8.9714818727667234E-2</v>
      </c>
      <c r="L47">
        <f t="shared" si="1"/>
        <v>0.91419185849726292</v>
      </c>
      <c r="M47">
        <f t="shared" si="2"/>
        <v>0.52241367319629617</v>
      </c>
      <c r="N47">
        <f t="shared" si="3"/>
        <v>-0.64929552755636388</v>
      </c>
      <c r="O47">
        <f t="shared" si="4"/>
        <v>0.47758632680370383</v>
      </c>
      <c r="P47">
        <f t="shared" si="5"/>
        <v>0</v>
      </c>
    </row>
    <row r="48" spans="1:16">
      <c r="A48">
        <v>1</v>
      </c>
      <c r="B48">
        <v>126</v>
      </c>
      <c r="C48">
        <v>56</v>
      </c>
      <c r="D48">
        <v>29</v>
      </c>
      <c r="E48">
        <v>152</v>
      </c>
      <c r="F48">
        <v>28.7</v>
      </c>
      <c r="G48">
        <v>21</v>
      </c>
      <c r="H48">
        <v>0</v>
      </c>
      <c r="K48">
        <f t="shared" si="0"/>
        <v>0.22459334401413861</v>
      </c>
      <c r="L48">
        <f t="shared" si="1"/>
        <v>1.2518135551967946</v>
      </c>
      <c r="M48">
        <f t="shared" si="2"/>
        <v>0.444086499831291</v>
      </c>
      <c r="N48">
        <f t="shared" si="3"/>
        <v>-0.81173591608491036</v>
      </c>
      <c r="O48">
        <f t="shared" si="4"/>
        <v>0.555913500168709</v>
      </c>
      <c r="P48">
        <f t="shared" si="5"/>
        <v>0</v>
      </c>
    </row>
    <row r="49" spans="1:16">
      <c r="A49">
        <v>4</v>
      </c>
      <c r="B49">
        <v>144</v>
      </c>
      <c r="C49">
        <v>58</v>
      </c>
      <c r="D49">
        <v>28</v>
      </c>
      <c r="E49">
        <v>140</v>
      </c>
      <c r="F49">
        <v>29.5</v>
      </c>
      <c r="G49">
        <v>37</v>
      </c>
      <c r="H49">
        <v>0</v>
      </c>
      <c r="K49">
        <f t="shared" si="0"/>
        <v>0.48708122661604891</v>
      </c>
      <c r="L49">
        <f t="shared" si="1"/>
        <v>1.6275588051037662</v>
      </c>
      <c r="M49">
        <f t="shared" si="2"/>
        <v>0.38058139671607027</v>
      </c>
      <c r="N49">
        <f t="shared" si="3"/>
        <v>-0.96605520414793333</v>
      </c>
      <c r="O49">
        <f t="shared" si="4"/>
        <v>0.61941860328392973</v>
      </c>
      <c r="P49">
        <f t="shared" si="5"/>
        <v>1</v>
      </c>
    </row>
    <row r="50" spans="1:16">
      <c r="A50">
        <v>3</v>
      </c>
      <c r="B50">
        <v>83</v>
      </c>
      <c r="C50">
        <v>58</v>
      </c>
      <c r="D50">
        <v>31</v>
      </c>
      <c r="E50">
        <v>18</v>
      </c>
      <c r="F50">
        <v>34.299999999999997</v>
      </c>
      <c r="G50">
        <v>25</v>
      </c>
      <c r="H50">
        <v>0</v>
      </c>
      <c r="K50">
        <f t="shared" si="0"/>
        <v>6.6412642521933074E-2</v>
      </c>
      <c r="L50">
        <f t="shared" si="1"/>
        <v>1.06866760389061</v>
      </c>
      <c r="M50">
        <f t="shared" si="2"/>
        <v>0.48340293922487487</v>
      </c>
      <c r="N50">
        <f t="shared" si="3"/>
        <v>-0.72690473041499026</v>
      </c>
      <c r="O50">
        <f t="shared" si="4"/>
        <v>0.51659706077512513</v>
      </c>
      <c r="P50">
        <f t="shared" si="5"/>
        <v>0</v>
      </c>
    </row>
    <row r="51" spans="1:16">
      <c r="A51">
        <v>0</v>
      </c>
      <c r="B51">
        <v>95</v>
      </c>
      <c r="C51">
        <v>85</v>
      </c>
      <c r="D51">
        <v>25</v>
      </c>
      <c r="E51">
        <v>36</v>
      </c>
      <c r="F51">
        <v>37.4</v>
      </c>
      <c r="G51">
        <v>24</v>
      </c>
      <c r="H51">
        <v>1</v>
      </c>
      <c r="K51">
        <f t="shared" si="0"/>
        <v>0.10901485169670794</v>
      </c>
      <c r="L51">
        <f t="shared" si="1"/>
        <v>1.1151789125174432</v>
      </c>
      <c r="M51">
        <f t="shared" si="2"/>
        <v>0.52722675416150955</v>
      </c>
      <c r="N51">
        <f t="shared" si="3"/>
        <v>-0.64012454943064334</v>
      </c>
      <c r="O51">
        <f t="shared" si="4"/>
        <v>0.52722675416150955</v>
      </c>
      <c r="P51">
        <f t="shared" si="5"/>
        <v>0</v>
      </c>
    </row>
    <row r="52" spans="1:16">
      <c r="A52">
        <v>3</v>
      </c>
      <c r="B52">
        <v>171</v>
      </c>
      <c r="C52">
        <v>72</v>
      </c>
      <c r="D52">
        <v>33</v>
      </c>
      <c r="E52">
        <v>135</v>
      </c>
      <c r="F52">
        <v>33.299999999999997</v>
      </c>
      <c r="G52">
        <v>24</v>
      </c>
      <c r="H52">
        <v>1</v>
      </c>
      <c r="K52">
        <f t="shared" si="0"/>
        <v>0.61213398923661799</v>
      </c>
      <c r="L52">
        <f t="shared" si="1"/>
        <v>1.8443630531393789</v>
      </c>
      <c r="M52">
        <f t="shared" si="2"/>
        <v>0.64842744005682385</v>
      </c>
      <c r="N52">
        <f t="shared" si="3"/>
        <v>-0.43320517037260009</v>
      </c>
      <c r="O52">
        <f t="shared" si="4"/>
        <v>0.64842744005682385</v>
      </c>
      <c r="P52">
        <f t="shared" si="5"/>
        <v>1</v>
      </c>
    </row>
    <row r="53" spans="1:16">
      <c r="A53">
        <v>8</v>
      </c>
      <c r="B53">
        <v>155</v>
      </c>
      <c r="C53">
        <v>62</v>
      </c>
      <c r="D53">
        <v>26</v>
      </c>
      <c r="E53">
        <v>495</v>
      </c>
      <c r="F53">
        <v>34</v>
      </c>
      <c r="G53">
        <v>46</v>
      </c>
      <c r="H53">
        <v>1</v>
      </c>
      <c r="K53">
        <f t="shared" si="0"/>
        <v>0.66797357590639983</v>
      </c>
      <c r="L53">
        <f t="shared" si="1"/>
        <v>1.9502812167706618</v>
      </c>
      <c r="M53">
        <f t="shared" si="2"/>
        <v>0.66104926055334257</v>
      </c>
      <c r="N53">
        <f t="shared" si="3"/>
        <v>-0.41392691762079881</v>
      </c>
      <c r="O53">
        <f t="shared" si="4"/>
        <v>0.66104926055334257</v>
      </c>
      <c r="P53">
        <f t="shared" si="5"/>
        <v>1</v>
      </c>
    </row>
    <row r="54" spans="1:16">
      <c r="A54">
        <v>1</v>
      </c>
      <c r="B54">
        <v>89</v>
      </c>
      <c r="C54">
        <v>76</v>
      </c>
      <c r="D54">
        <v>34</v>
      </c>
      <c r="E54">
        <v>37</v>
      </c>
      <c r="F54">
        <v>31.2</v>
      </c>
      <c r="G54">
        <v>23</v>
      </c>
      <c r="H54">
        <v>0</v>
      </c>
      <c r="K54">
        <f t="shared" si="0"/>
        <v>3.5086939449266996E-2</v>
      </c>
      <c r="L54">
        <f t="shared" si="1"/>
        <v>1.035709748920719</v>
      </c>
      <c r="M54">
        <f t="shared" si="2"/>
        <v>0.49122916492892676</v>
      </c>
      <c r="N54">
        <f t="shared" si="3"/>
        <v>-0.71084452905651441</v>
      </c>
      <c r="O54">
        <f t="shared" si="4"/>
        <v>0.50877083507107324</v>
      </c>
      <c r="P54">
        <f t="shared" si="5"/>
        <v>0</v>
      </c>
    </row>
    <row r="55" spans="1:16">
      <c r="A55">
        <v>7</v>
      </c>
      <c r="B55">
        <v>160</v>
      </c>
      <c r="C55">
        <v>54</v>
      </c>
      <c r="D55">
        <v>32</v>
      </c>
      <c r="E55">
        <v>175</v>
      </c>
      <c r="F55">
        <v>30.5</v>
      </c>
      <c r="G55">
        <v>39</v>
      </c>
      <c r="H55">
        <v>1</v>
      </c>
      <c r="K55">
        <f t="shared" si="0"/>
        <v>0.65672240297164064</v>
      </c>
      <c r="L55">
        <f t="shared" si="1"/>
        <v>1.9284612458425447</v>
      </c>
      <c r="M55">
        <f t="shared" si="2"/>
        <v>0.65852373787781127</v>
      </c>
      <c r="N55">
        <f t="shared" si="3"/>
        <v>-0.41775471003879344</v>
      </c>
      <c r="O55">
        <f t="shared" si="4"/>
        <v>0.65852373787781127</v>
      </c>
      <c r="P55">
        <f t="shared" si="5"/>
        <v>1</v>
      </c>
    </row>
    <row r="56" spans="1:16">
      <c r="A56">
        <v>4</v>
      </c>
      <c r="B56">
        <v>99</v>
      </c>
      <c r="C56">
        <v>76</v>
      </c>
      <c r="D56">
        <v>15</v>
      </c>
      <c r="E56">
        <v>51</v>
      </c>
      <c r="F56">
        <v>23.2</v>
      </c>
      <c r="G56">
        <v>21</v>
      </c>
      <c r="H56">
        <v>0</v>
      </c>
      <c r="K56">
        <f t="shared" si="0"/>
        <v>9.8788238204947088E-4</v>
      </c>
      <c r="L56">
        <f t="shared" si="1"/>
        <v>1.0009883704985705</v>
      </c>
      <c r="M56">
        <f t="shared" si="2"/>
        <v>0.49975302942457278</v>
      </c>
      <c r="N56">
        <f t="shared" si="3"/>
        <v>-0.69364124373991509</v>
      </c>
      <c r="O56">
        <f t="shared" si="4"/>
        <v>0.50024697057542722</v>
      </c>
      <c r="P56">
        <f t="shared" si="5"/>
        <v>0</v>
      </c>
    </row>
    <row r="57" spans="1:16">
      <c r="A57">
        <v>0</v>
      </c>
      <c r="B57">
        <v>162</v>
      </c>
      <c r="C57">
        <v>76</v>
      </c>
      <c r="D57">
        <v>56</v>
      </c>
      <c r="E57">
        <v>100</v>
      </c>
      <c r="F57">
        <v>53.2</v>
      </c>
      <c r="G57">
        <v>25</v>
      </c>
      <c r="H57">
        <v>1</v>
      </c>
      <c r="K57">
        <f t="shared" si="0"/>
        <v>0.77544640042629187</v>
      </c>
      <c r="L57">
        <f t="shared" si="1"/>
        <v>2.1715612967370799</v>
      </c>
      <c r="M57">
        <f t="shared" si="2"/>
        <v>0.68469788018008493</v>
      </c>
      <c r="N57">
        <f t="shared" si="3"/>
        <v>-0.37877758884343082</v>
      </c>
      <c r="O57">
        <f t="shared" si="4"/>
        <v>0.68469788018008493</v>
      </c>
      <c r="P57">
        <f t="shared" si="5"/>
        <v>1</v>
      </c>
    </row>
    <row r="58" spans="1:16">
      <c r="A58">
        <v>2</v>
      </c>
      <c r="B58">
        <v>107</v>
      </c>
      <c r="C58">
        <v>74</v>
      </c>
      <c r="D58">
        <v>30</v>
      </c>
      <c r="E58">
        <v>100</v>
      </c>
      <c r="F58">
        <v>33.6</v>
      </c>
      <c r="G58">
        <v>23</v>
      </c>
      <c r="H58">
        <v>0</v>
      </c>
      <c r="K58">
        <f t="shared" si="0"/>
        <v>0.17483759369945834</v>
      </c>
      <c r="L58">
        <f t="shared" si="1"/>
        <v>1.1910527664304733</v>
      </c>
      <c r="M58">
        <f t="shared" si="2"/>
        <v>0.45640160534752328</v>
      </c>
      <c r="N58">
        <f t="shared" si="3"/>
        <v>-0.78438214358689851</v>
      </c>
      <c r="O58">
        <f t="shared" si="4"/>
        <v>0.54359839465247672</v>
      </c>
      <c r="P58">
        <f t="shared" si="5"/>
        <v>0</v>
      </c>
    </row>
    <row r="59" spans="1:16">
      <c r="A59">
        <v>1</v>
      </c>
      <c r="B59">
        <v>88</v>
      </c>
      <c r="C59">
        <v>30</v>
      </c>
      <c r="D59">
        <v>42</v>
      </c>
      <c r="E59">
        <v>99</v>
      </c>
      <c r="F59">
        <v>55</v>
      </c>
      <c r="G59">
        <v>26</v>
      </c>
      <c r="H59">
        <v>1</v>
      </c>
      <c r="K59">
        <f t="shared" si="0"/>
        <v>0.31672432125421973</v>
      </c>
      <c r="L59">
        <f t="shared" si="1"/>
        <v>1.3726241164669373</v>
      </c>
      <c r="M59">
        <f t="shared" si="2"/>
        <v>0.5785257373641236</v>
      </c>
      <c r="N59">
        <f t="shared" si="3"/>
        <v>-0.54727224351242454</v>
      </c>
      <c r="O59">
        <f t="shared" si="4"/>
        <v>0.5785257373641236</v>
      </c>
      <c r="P59">
        <f t="shared" si="5"/>
        <v>0</v>
      </c>
    </row>
    <row r="60" spans="1:16">
      <c r="A60">
        <v>3</v>
      </c>
      <c r="B60">
        <v>120</v>
      </c>
      <c r="C60">
        <v>70</v>
      </c>
      <c r="D60">
        <v>30</v>
      </c>
      <c r="E60">
        <v>135</v>
      </c>
      <c r="F60">
        <v>42.9</v>
      </c>
      <c r="G60">
        <v>30</v>
      </c>
      <c r="H60">
        <v>0</v>
      </c>
      <c r="K60">
        <f t="shared" si="0"/>
        <v>0.4085693205046238</v>
      </c>
      <c r="L60">
        <f t="shared" si="1"/>
        <v>1.5046635531796</v>
      </c>
      <c r="M60">
        <f t="shared" si="2"/>
        <v>0.39925522081819254</v>
      </c>
      <c r="N60">
        <f t="shared" si="3"/>
        <v>-0.91815441540847387</v>
      </c>
      <c r="O60">
        <f t="shared" si="4"/>
        <v>0.60074477918180746</v>
      </c>
      <c r="P60">
        <f t="shared" si="5"/>
        <v>1</v>
      </c>
    </row>
    <row r="61" spans="1:16">
      <c r="A61">
        <v>1</v>
      </c>
      <c r="B61">
        <v>118</v>
      </c>
      <c r="C61">
        <v>58</v>
      </c>
      <c r="D61">
        <v>36</v>
      </c>
      <c r="E61">
        <v>94</v>
      </c>
      <c r="F61">
        <v>33.299999999999997</v>
      </c>
      <c r="G61">
        <v>23</v>
      </c>
      <c r="H61">
        <v>0</v>
      </c>
      <c r="K61">
        <f t="shared" si="0"/>
        <v>0.25142098681161862</v>
      </c>
      <c r="L61">
        <f t="shared" si="1"/>
        <v>1.28585129683921</v>
      </c>
      <c r="M61">
        <f t="shared" si="2"/>
        <v>0.43747377678625154</v>
      </c>
      <c r="N61">
        <f t="shared" si="3"/>
        <v>-0.82673851375515028</v>
      </c>
      <c r="O61">
        <f t="shared" si="4"/>
        <v>0.56252622321374846</v>
      </c>
      <c r="P61">
        <f t="shared" si="5"/>
        <v>0</v>
      </c>
    </row>
    <row r="62" spans="1:16">
      <c r="A62">
        <v>1</v>
      </c>
      <c r="B62">
        <v>117</v>
      </c>
      <c r="C62">
        <v>88</v>
      </c>
      <c r="D62">
        <v>24</v>
      </c>
      <c r="E62">
        <v>145</v>
      </c>
      <c r="F62">
        <v>34.5</v>
      </c>
      <c r="G62">
        <v>40</v>
      </c>
      <c r="H62">
        <v>1</v>
      </c>
      <c r="K62">
        <f t="shared" si="0"/>
        <v>0.32391672178245201</v>
      </c>
      <c r="L62">
        <f t="shared" si="1"/>
        <v>1.3825321675106224</v>
      </c>
      <c r="M62">
        <f t="shared" si="2"/>
        <v>0.58027848956816164</v>
      </c>
      <c r="N62">
        <f t="shared" si="3"/>
        <v>-0.54424713625105814</v>
      </c>
      <c r="O62">
        <f t="shared" si="4"/>
        <v>0.58027848956816164</v>
      </c>
      <c r="P62">
        <f t="shared" si="5"/>
        <v>0</v>
      </c>
    </row>
    <row r="63" spans="1:16">
      <c r="A63">
        <v>4</v>
      </c>
      <c r="B63">
        <v>173</v>
      </c>
      <c r="C63">
        <v>70</v>
      </c>
      <c r="D63">
        <v>14</v>
      </c>
      <c r="E63">
        <v>168</v>
      </c>
      <c r="F63">
        <v>29.7</v>
      </c>
      <c r="G63">
        <v>33</v>
      </c>
      <c r="H63">
        <v>1</v>
      </c>
      <c r="K63">
        <f t="shared" si="0"/>
        <v>0.61591857446611165</v>
      </c>
      <c r="L63">
        <f t="shared" si="1"/>
        <v>1.851356427471492</v>
      </c>
      <c r="M63">
        <f t="shared" si="2"/>
        <v>0.64928972387826878</v>
      </c>
      <c r="N63">
        <f t="shared" si="3"/>
        <v>-0.43187624605486585</v>
      </c>
      <c r="O63">
        <f t="shared" si="4"/>
        <v>0.64928972387826878</v>
      </c>
      <c r="P63">
        <f t="shared" si="5"/>
        <v>1</v>
      </c>
    </row>
    <row r="64" spans="1:16">
      <c r="A64">
        <v>3</v>
      </c>
      <c r="B64">
        <v>170</v>
      </c>
      <c r="C64">
        <v>64</v>
      </c>
      <c r="D64">
        <v>37</v>
      </c>
      <c r="E64">
        <v>225</v>
      </c>
      <c r="F64">
        <v>34.5</v>
      </c>
      <c r="G64">
        <v>30</v>
      </c>
      <c r="H64">
        <v>1</v>
      </c>
      <c r="K64">
        <f t="shared" si="0"/>
        <v>0.65872178516953361</v>
      </c>
      <c r="L64">
        <f t="shared" si="1"/>
        <v>1.9323208340370377</v>
      </c>
      <c r="M64">
        <f t="shared" si="2"/>
        <v>0.65897319679604716</v>
      </c>
      <c r="N64">
        <f t="shared" si="3"/>
        <v>-0.4170724178469209</v>
      </c>
      <c r="O64">
        <f t="shared" si="4"/>
        <v>0.65897319679604716</v>
      </c>
      <c r="P64">
        <f t="shared" si="5"/>
        <v>1</v>
      </c>
    </row>
    <row r="65" spans="1:16">
      <c r="A65">
        <v>2</v>
      </c>
      <c r="B65">
        <v>96</v>
      </c>
      <c r="C65">
        <v>68</v>
      </c>
      <c r="D65">
        <v>13</v>
      </c>
      <c r="E65">
        <v>49</v>
      </c>
      <c r="F65">
        <v>21.1</v>
      </c>
      <c r="G65">
        <v>26</v>
      </c>
      <c r="H65">
        <v>0</v>
      </c>
      <c r="K65">
        <f t="shared" si="0"/>
        <v>-3.2317655333405498E-2</v>
      </c>
      <c r="L65">
        <f t="shared" si="1"/>
        <v>0.9681989796563234</v>
      </c>
      <c r="M65">
        <f t="shared" si="2"/>
        <v>0.50807871070770227</v>
      </c>
      <c r="N65">
        <f t="shared" si="3"/>
        <v>-0.67711890106798289</v>
      </c>
      <c r="O65">
        <f t="shared" si="4"/>
        <v>0.49192128929229773</v>
      </c>
      <c r="P65">
        <f t="shared" si="5"/>
        <v>0</v>
      </c>
    </row>
    <row r="66" spans="1:16">
      <c r="A66">
        <v>2</v>
      </c>
      <c r="B66">
        <v>125</v>
      </c>
      <c r="C66">
        <v>60</v>
      </c>
      <c r="D66">
        <v>20</v>
      </c>
      <c r="E66">
        <v>140</v>
      </c>
      <c r="F66">
        <v>33.799999999999997</v>
      </c>
      <c r="G66">
        <v>31</v>
      </c>
      <c r="H66">
        <v>0</v>
      </c>
      <c r="K66">
        <f t="shared" si="0"/>
        <v>0.32629394497688313</v>
      </c>
      <c r="L66">
        <f t="shared" si="1"/>
        <v>1.3858226646196983</v>
      </c>
      <c r="M66">
        <f t="shared" si="2"/>
        <v>0.41914263571613797</v>
      </c>
      <c r="N66">
        <f t="shared" si="3"/>
        <v>-0.86954399761926893</v>
      </c>
      <c r="O66">
        <f t="shared" si="4"/>
        <v>0.58085736428386203</v>
      </c>
      <c r="P66">
        <f t="shared" si="5"/>
        <v>0</v>
      </c>
    </row>
    <row r="67" spans="1:16">
      <c r="A67">
        <v>0</v>
      </c>
      <c r="B67">
        <v>100</v>
      </c>
      <c r="C67">
        <v>70</v>
      </c>
      <c r="D67">
        <v>26</v>
      </c>
      <c r="E67">
        <v>50</v>
      </c>
      <c r="F67">
        <v>30.8</v>
      </c>
      <c r="G67">
        <v>21</v>
      </c>
      <c r="H67">
        <v>0</v>
      </c>
      <c r="K67">
        <f t="shared" ref="K67:K130" si="6">J$3+A67*J$4+J$5*B67++J$6*C67+J$7*D67+J$8*E67+J$9*F67+J$10*G67</f>
        <v>6.2413559669516228E-2</v>
      </c>
      <c r="L67">
        <f t="shared" ref="L67:L130" si="7">EXP(K67)</f>
        <v>1.0644024476418323</v>
      </c>
      <c r="M67">
        <f t="shared" ref="M67:M130" si="8">IF(H67=1,L67/(1+L67),1-(L67/(1+L67)))</f>
        <v>0.48440167329887651</v>
      </c>
      <c r="N67">
        <f t="shared" ref="N67:N130" si="9">LN(M67)</f>
        <v>-0.72484081293493718</v>
      </c>
      <c r="O67">
        <f t="shared" ref="O67:O130" si="10">(EXP(J$3+J$4*A67+J$5*B67+J$6*C67+J$7*D67+J$8*E67+J$9*F67+J$10*G67))/(1+(EXP(J$3+J$4*A67+J$5*B67+J$6*C67+J$7*D67+J$8*E67+J$9*F67+J$10*G67)))</f>
        <v>0.51559832670112349</v>
      </c>
      <c r="P67">
        <f t="shared" ref="P67:P130" si="11">IF(O67&lt;0.6, 0,1)</f>
        <v>0</v>
      </c>
    </row>
    <row r="68" spans="1:16">
      <c r="A68">
        <v>0</v>
      </c>
      <c r="B68">
        <v>93</v>
      </c>
      <c r="C68">
        <v>60</v>
      </c>
      <c r="D68">
        <v>25</v>
      </c>
      <c r="E68">
        <v>92</v>
      </c>
      <c r="F68">
        <v>28.7</v>
      </c>
      <c r="G68">
        <v>22</v>
      </c>
      <c r="H68">
        <v>0</v>
      </c>
      <c r="K68">
        <f t="shared" si="6"/>
        <v>-5.5721503259442695E-4</v>
      </c>
      <c r="L68">
        <f t="shared" si="7"/>
        <v>0.99944294018287105</v>
      </c>
      <c r="M68">
        <f t="shared" si="8"/>
        <v>0.5001393037545443</v>
      </c>
      <c r="N68">
        <f t="shared" si="9"/>
        <v>-0.69286861185472159</v>
      </c>
      <c r="O68">
        <f t="shared" si="10"/>
        <v>0.49986069624545576</v>
      </c>
      <c r="P68">
        <f t="shared" si="11"/>
        <v>0</v>
      </c>
    </row>
    <row r="69" spans="1:16">
      <c r="A69">
        <v>5</v>
      </c>
      <c r="B69">
        <v>105</v>
      </c>
      <c r="C69">
        <v>72</v>
      </c>
      <c r="D69">
        <v>29</v>
      </c>
      <c r="E69">
        <v>325</v>
      </c>
      <c r="F69">
        <v>36.9</v>
      </c>
      <c r="G69">
        <v>28</v>
      </c>
      <c r="H69">
        <v>0</v>
      </c>
      <c r="K69">
        <f t="shared" si="6"/>
        <v>0.23868970690688368</v>
      </c>
      <c r="L69">
        <f t="shared" si="7"/>
        <v>1.2695845321471175</v>
      </c>
      <c r="M69">
        <f t="shared" si="8"/>
        <v>0.44060927708824316</v>
      </c>
      <c r="N69">
        <f t="shared" si="9"/>
        <v>-0.81959678925625179</v>
      </c>
      <c r="O69">
        <f t="shared" si="10"/>
        <v>0.55939072291175684</v>
      </c>
      <c r="P69">
        <f t="shared" si="11"/>
        <v>0</v>
      </c>
    </row>
    <row r="70" spans="1:16">
      <c r="A70">
        <v>2</v>
      </c>
      <c r="B70">
        <v>108</v>
      </c>
      <c r="C70">
        <v>52</v>
      </c>
      <c r="D70">
        <v>26</v>
      </c>
      <c r="E70">
        <v>63</v>
      </c>
      <c r="F70">
        <v>32.5</v>
      </c>
      <c r="G70">
        <v>22</v>
      </c>
      <c r="H70">
        <v>0</v>
      </c>
      <c r="K70">
        <f t="shared" si="6"/>
        <v>0.16781103302750477</v>
      </c>
      <c r="L70">
        <f t="shared" si="7"/>
        <v>1.1827130958169685</v>
      </c>
      <c r="M70">
        <f t="shared" si="8"/>
        <v>0.45814541632449846</v>
      </c>
      <c r="N70">
        <f t="shared" si="9"/>
        <v>-0.78056864236941081</v>
      </c>
      <c r="O70">
        <f t="shared" si="10"/>
        <v>0.54185458367550154</v>
      </c>
      <c r="P70">
        <f t="shared" si="11"/>
        <v>0</v>
      </c>
    </row>
    <row r="71" spans="1:16">
      <c r="A71">
        <v>4</v>
      </c>
      <c r="B71">
        <v>154</v>
      </c>
      <c r="C71">
        <v>62</v>
      </c>
      <c r="D71">
        <v>31</v>
      </c>
      <c r="E71">
        <v>284</v>
      </c>
      <c r="F71">
        <v>32.799999999999997</v>
      </c>
      <c r="G71">
        <v>23</v>
      </c>
      <c r="H71">
        <v>0</v>
      </c>
      <c r="K71">
        <f t="shared" si="6"/>
        <v>0.48600311110700317</v>
      </c>
      <c r="L71">
        <f t="shared" si="7"/>
        <v>1.6258050542569635</v>
      </c>
      <c r="M71">
        <f t="shared" si="8"/>
        <v>0.38083558350182811</v>
      </c>
      <c r="N71">
        <f t="shared" si="9"/>
        <v>-0.96538753636062513</v>
      </c>
      <c r="O71">
        <f t="shared" si="10"/>
        <v>0.61916441649817189</v>
      </c>
      <c r="P71">
        <f t="shared" si="11"/>
        <v>1</v>
      </c>
    </row>
    <row r="72" spans="1:16">
      <c r="A72">
        <v>2</v>
      </c>
      <c r="B72">
        <v>106</v>
      </c>
      <c r="C72">
        <v>64</v>
      </c>
      <c r="D72">
        <v>35</v>
      </c>
      <c r="E72">
        <v>119</v>
      </c>
      <c r="F72">
        <v>30.5</v>
      </c>
      <c r="G72">
        <v>34</v>
      </c>
      <c r="H72">
        <v>0</v>
      </c>
      <c r="K72">
        <f t="shared" si="6"/>
        <v>0.2202359280229062</v>
      </c>
      <c r="L72">
        <f t="shared" si="7"/>
        <v>1.2463707496891265</v>
      </c>
      <c r="M72">
        <f t="shared" si="8"/>
        <v>0.4451624916049095</v>
      </c>
      <c r="N72">
        <f t="shared" si="9"/>
        <v>-0.8093159137928605</v>
      </c>
      <c r="O72">
        <f t="shared" si="10"/>
        <v>0.5548375083950905</v>
      </c>
      <c r="P72">
        <f t="shared" si="11"/>
        <v>0</v>
      </c>
    </row>
    <row r="73" spans="1:16">
      <c r="A73">
        <v>1</v>
      </c>
      <c r="B73">
        <v>136</v>
      </c>
      <c r="C73">
        <v>74</v>
      </c>
      <c r="D73">
        <v>50</v>
      </c>
      <c r="E73">
        <v>204</v>
      </c>
      <c r="F73">
        <v>37.4</v>
      </c>
      <c r="G73">
        <v>24</v>
      </c>
      <c r="H73">
        <v>0</v>
      </c>
      <c r="K73">
        <f t="shared" si="6"/>
        <v>0.42902111091932044</v>
      </c>
      <c r="L73">
        <f t="shared" si="7"/>
        <v>1.5357534552224208</v>
      </c>
      <c r="M73">
        <f t="shared" si="8"/>
        <v>0.39436010545129518</v>
      </c>
      <c r="N73">
        <f t="shared" si="9"/>
        <v>-0.93049081387677457</v>
      </c>
      <c r="O73">
        <f t="shared" si="10"/>
        <v>0.60563989454870482</v>
      </c>
      <c r="P73">
        <f t="shared" si="11"/>
        <v>1</v>
      </c>
    </row>
    <row r="74" spans="1:16">
      <c r="A74">
        <v>9</v>
      </c>
      <c r="B74">
        <v>156</v>
      </c>
      <c r="C74">
        <v>86</v>
      </c>
      <c r="D74">
        <v>28</v>
      </c>
      <c r="E74">
        <v>155</v>
      </c>
      <c r="F74">
        <v>34.299999999999997</v>
      </c>
      <c r="G74">
        <v>42</v>
      </c>
      <c r="H74">
        <v>1</v>
      </c>
      <c r="K74">
        <f t="shared" si="6"/>
        <v>0.69293813852989994</v>
      </c>
      <c r="L74">
        <f t="shared" si="7"/>
        <v>1.9995819596354347</v>
      </c>
      <c r="M74">
        <f t="shared" si="8"/>
        <v>0.6666202112638594</v>
      </c>
      <c r="N74">
        <f t="shared" si="9"/>
        <v>-0.40553479364035561</v>
      </c>
      <c r="O74">
        <f t="shared" si="10"/>
        <v>0.6666202112638594</v>
      </c>
      <c r="P74">
        <f t="shared" si="11"/>
        <v>1</v>
      </c>
    </row>
    <row r="75" spans="1:16">
      <c r="A75">
        <v>1</v>
      </c>
      <c r="B75">
        <v>153</v>
      </c>
      <c r="C75">
        <v>82</v>
      </c>
      <c r="D75">
        <v>42</v>
      </c>
      <c r="E75">
        <v>485</v>
      </c>
      <c r="F75">
        <v>40.6</v>
      </c>
      <c r="G75">
        <v>23</v>
      </c>
      <c r="H75">
        <v>0</v>
      </c>
      <c r="K75">
        <f t="shared" si="6"/>
        <v>0.51755360987094567</v>
      </c>
      <c r="L75">
        <f t="shared" si="7"/>
        <v>1.6779177830781686</v>
      </c>
      <c r="M75">
        <f t="shared" si="8"/>
        <v>0.37342445922687606</v>
      </c>
      <c r="N75">
        <f t="shared" si="9"/>
        <v>-0.98503954593069754</v>
      </c>
      <c r="O75">
        <f t="shared" si="10"/>
        <v>0.62657554077312394</v>
      </c>
      <c r="P75">
        <f t="shared" si="11"/>
        <v>1</v>
      </c>
    </row>
    <row r="76" spans="1:16">
      <c r="A76">
        <v>2</v>
      </c>
      <c r="B76">
        <v>99</v>
      </c>
      <c r="C76">
        <v>52</v>
      </c>
      <c r="D76">
        <v>15</v>
      </c>
      <c r="E76">
        <v>94</v>
      </c>
      <c r="F76">
        <v>24.6</v>
      </c>
      <c r="G76">
        <v>21</v>
      </c>
      <c r="H76">
        <v>0</v>
      </c>
      <c r="K76">
        <f t="shared" si="6"/>
        <v>-3.5431409985979823E-3</v>
      </c>
      <c r="L76">
        <f t="shared" si="7"/>
        <v>0.99646312851868968</v>
      </c>
      <c r="M76">
        <f t="shared" si="8"/>
        <v>0.50088578432298281</v>
      </c>
      <c r="N76">
        <f t="shared" si="9"/>
        <v>-0.69137717929084264</v>
      </c>
      <c r="O76">
        <f t="shared" si="10"/>
        <v>0.49911421567701714</v>
      </c>
      <c r="P76">
        <f t="shared" si="11"/>
        <v>0</v>
      </c>
    </row>
    <row r="77" spans="1:16">
      <c r="A77">
        <v>1</v>
      </c>
      <c r="B77">
        <v>109</v>
      </c>
      <c r="C77">
        <v>56</v>
      </c>
      <c r="D77">
        <v>21</v>
      </c>
      <c r="E77">
        <v>135</v>
      </c>
      <c r="F77">
        <v>25.2</v>
      </c>
      <c r="G77">
        <v>23</v>
      </c>
      <c r="H77">
        <v>0</v>
      </c>
      <c r="K77">
        <f t="shared" si="6"/>
        <v>7.5805735129748808E-2</v>
      </c>
      <c r="L77">
        <f t="shared" si="7"/>
        <v>1.078752989990889</v>
      </c>
      <c r="M77">
        <f t="shared" si="8"/>
        <v>0.48105763638823817</v>
      </c>
      <c r="N77">
        <f t="shared" si="9"/>
        <v>-0.73176818988398473</v>
      </c>
      <c r="O77">
        <f t="shared" si="10"/>
        <v>0.51894236361176183</v>
      </c>
      <c r="P77">
        <f t="shared" si="11"/>
        <v>0</v>
      </c>
    </row>
    <row r="78" spans="1:16">
      <c r="A78">
        <v>2</v>
      </c>
      <c r="B78">
        <v>88</v>
      </c>
      <c r="C78">
        <v>74</v>
      </c>
      <c r="D78">
        <v>19</v>
      </c>
      <c r="E78">
        <v>53</v>
      </c>
      <c r="F78">
        <v>29</v>
      </c>
      <c r="G78">
        <v>22</v>
      </c>
      <c r="H78">
        <v>0</v>
      </c>
      <c r="K78">
        <f t="shared" si="6"/>
        <v>-2.0692501146688136E-2</v>
      </c>
      <c r="L78">
        <f t="shared" si="7"/>
        <v>0.97952011957824292</v>
      </c>
      <c r="M78">
        <f t="shared" si="8"/>
        <v>0.50517294070901397</v>
      </c>
      <c r="N78">
        <f t="shared" si="9"/>
        <v>-0.68285445148220758</v>
      </c>
      <c r="O78">
        <f t="shared" si="10"/>
        <v>0.49482705929098603</v>
      </c>
      <c r="P78">
        <f t="shared" si="11"/>
        <v>0</v>
      </c>
    </row>
    <row r="79" spans="1:16">
      <c r="A79">
        <v>17</v>
      </c>
      <c r="B79">
        <v>163</v>
      </c>
      <c r="C79">
        <v>72</v>
      </c>
      <c r="D79">
        <v>41</v>
      </c>
      <c r="E79">
        <v>114</v>
      </c>
      <c r="F79">
        <v>40.9</v>
      </c>
      <c r="G79">
        <v>47</v>
      </c>
      <c r="H79">
        <v>1</v>
      </c>
      <c r="K79">
        <f t="shared" si="6"/>
        <v>0.96951237953817515</v>
      </c>
      <c r="L79">
        <f t="shared" si="7"/>
        <v>2.6366584572245717</v>
      </c>
      <c r="M79">
        <f t="shared" si="8"/>
        <v>0.7250222940201041</v>
      </c>
      <c r="N79">
        <f t="shared" si="9"/>
        <v>-0.32155287422768791</v>
      </c>
      <c r="O79">
        <f t="shared" si="10"/>
        <v>0.7250222940201041</v>
      </c>
      <c r="P79">
        <f t="shared" si="11"/>
        <v>1</v>
      </c>
    </row>
    <row r="80" spans="1:16">
      <c r="A80">
        <v>7</v>
      </c>
      <c r="B80">
        <v>102</v>
      </c>
      <c r="C80">
        <v>74</v>
      </c>
      <c r="D80">
        <v>40</v>
      </c>
      <c r="E80">
        <v>105</v>
      </c>
      <c r="F80">
        <v>37.200000000000003</v>
      </c>
      <c r="G80">
        <v>45</v>
      </c>
      <c r="H80">
        <v>0</v>
      </c>
      <c r="K80">
        <f t="shared" si="6"/>
        <v>0.39976826073655408</v>
      </c>
      <c r="L80">
        <f t="shared" si="7"/>
        <v>1.4914790233393496</v>
      </c>
      <c r="M80">
        <f t="shared" si="8"/>
        <v>0.40136801900892261</v>
      </c>
      <c r="N80">
        <f t="shared" si="9"/>
        <v>-0.91287651941403414</v>
      </c>
      <c r="O80">
        <f t="shared" si="10"/>
        <v>0.59863198099107739</v>
      </c>
      <c r="P80">
        <f t="shared" si="11"/>
        <v>0</v>
      </c>
    </row>
    <row r="81" spans="1:16">
      <c r="A81">
        <v>0</v>
      </c>
      <c r="B81">
        <v>114</v>
      </c>
      <c r="C81">
        <v>80</v>
      </c>
      <c r="D81">
        <v>34</v>
      </c>
      <c r="E81">
        <v>285</v>
      </c>
      <c r="F81">
        <v>44.2</v>
      </c>
      <c r="G81">
        <v>27</v>
      </c>
      <c r="H81">
        <v>0</v>
      </c>
      <c r="K81">
        <f t="shared" si="6"/>
        <v>0.3168812608033349</v>
      </c>
      <c r="L81">
        <f t="shared" si="7"/>
        <v>1.3728395523816457</v>
      </c>
      <c r="M81">
        <f t="shared" si="8"/>
        <v>0.42143599595526327</v>
      </c>
      <c r="N81">
        <f t="shared" si="9"/>
        <v>-0.86408736133780784</v>
      </c>
      <c r="O81">
        <f t="shared" si="10"/>
        <v>0.57856400404473673</v>
      </c>
      <c r="P81">
        <f t="shared" si="11"/>
        <v>0</v>
      </c>
    </row>
    <row r="82" spans="1:16">
      <c r="A82">
        <v>6</v>
      </c>
      <c r="B82">
        <v>104</v>
      </c>
      <c r="C82">
        <v>74</v>
      </c>
      <c r="D82">
        <v>18</v>
      </c>
      <c r="E82">
        <v>156</v>
      </c>
      <c r="F82">
        <v>29.9</v>
      </c>
      <c r="G82">
        <v>41</v>
      </c>
      <c r="H82">
        <v>1</v>
      </c>
      <c r="K82">
        <f t="shared" si="6"/>
        <v>0.25001003162335295</v>
      </c>
      <c r="L82">
        <f t="shared" si="7"/>
        <v>1.2840382976117055</v>
      </c>
      <c r="M82">
        <f t="shared" si="8"/>
        <v>0.56217897000867034</v>
      </c>
      <c r="N82">
        <f t="shared" si="9"/>
        <v>-0.57593502781079009</v>
      </c>
      <c r="O82">
        <f t="shared" si="10"/>
        <v>0.56217897000867034</v>
      </c>
      <c r="P82">
        <f t="shared" si="11"/>
        <v>0</v>
      </c>
    </row>
    <row r="83" spans="1:16">
      <c r="A83">
        <v>3</v>
      </c>
      <c r="B83">
        <v>111</v>
      </c>
      <c r="C83">
        <v>90</v>
      </c>
      <c r="D83">
        <v>12</v>
      </c>
      <c r="E83">
        <v>78</v>
      </c>
      <c r="F83">
        <v>28.4</v>
      </c>
      <c r="G83">
        <v>29</v>
      </c>
      <c r="H83">
        <v>0</v>
      </c>
      <c r="K83">
        <f t="shared" si="6"/>
        <v>0.15687946717735435</v>
      </c>
      <c r="L83">
        <f t="shared" si="7"/>
        <v>1.1698545995256882</v>
      </c>
      <c r="M83">
        <f t="shared" si="8"/>
        <v>0.46086037295705973</v>
      </c>
      <c r="N83">
        <f t="shared" si="9"/>
        <v>-0.77466016048057251</v>
      </c>
      <c r="O83">
        <f t="shared" si="10"/>
        <v>0.53913962704294027</v>
      </c>
      <c r="P83">
        <f t="shared" si="11"/>
        <v>0</v>
      </c>
    </row>
    <row r="84" spans="1:16">
      <c r="A84">
        <v>6</v>
      </c>
      <c r="B84">
        <v>134</v>
      </c>
      <c r="C84">
        <v>70</v>
      </c>
      <c r="D84">
        <v>23</v>
      </c>
      <c r="E84">
        <v>130</v>
      </c>
      <c r="F84">
        <v>35.4</v>
      </c>
      <c r="G84">
        <v>29</v>
      </c>
      <c r="H84">
        <v>1</v>
      </c>
      <c r="K84">
        <f t="shared" si="6"/>
        <v>0.43933997934608721</v>
      </c>
      <c r="L84">
        <f t="shared" si="7"/>
        <v>1.5516827378040432</v>
      </c>
      <c r="M84">
        <f t="shared" si="8"/>
        <v>0.60810174980429121</v>
      </c>
      <c r="N84">
        <f t="shared" si="9"/>
        <v>-0.49741305936590086</v>
      </c>
      <c r="O84">
        <f t="shared" si="10"/>
        <v>0.60810174980429121</v>
      </c>
      <c r="P84">
        <f t="shared" si="11"/>
        <v>1</v>
      </c>
    </row>
    <row r="85" spans="1:16">
      <c r="A85">
        <v>1</v>
      </c>
      <c r="B85">
        <v>79</v>
      </c>
      <c r="C85">
        <v>60</v>
      </c>
      <c r="D85">
        <v>42</v>
      </c>
      <c r="E85">
        <v>48</v>
      </c>
      <c r="F85">
        <v>43.5</v>
      </c>
      <c r="G85">
        <v>23</v>
      </c>
      <c r="H85">
        <v>0</v>
      </c>
      <c r="K85">
        <f t="shared" si="6"/>
        <v>0.11590493613888525</v>
      </c>
      <c r="L85">
        <f t="shared" si="7"/>
        <v>1.1228891208838072</v>
      </c>
      <c r="M85">
        <f t="shared" si="8"/>
        <v>0.47105616122978533</v>
      </c>
      <c r="N85">
        <f t="shared" si="9"/>
        <v>-0.75277795379423895</v>
      </c>
      <c r="O85">
        <f t="shared" si="10"/>
        <v>0.52894383877021467</v>
      </c>
      <c r="P85">
        <f t="shared" si="11"/>
        <v>0</v>
      </c>
    </row>
    <row r="86" spans="1:16">
      <c r="A86">
        <v>2</v>
      </c>
      <c r="B86">
        <v>75</v>
      </c>
      <c r="C86">
        <v>64</v>
      </c>
      <c r="D86">
        <v>24</v>
      </c>
      <c r="E86">
        <v>55</v>
      </c>
      <c r="F86">
        <v>29.7</v>
      </c>
      <c r="G86">
        <v>33</v>
      </c>
      <c r="H86">
        <v>0</v>
      </c>
      <c r="K86">
        <f t="shared" si="6"/>
        <v>-1.3679764730426647E-2</v>
      </c>
      <c r="L86">
        <f t="shared" si="7"/>
        <v>0.98641337804363338</v>
      </c>
      <c r="M86">
        <f t="shared" si="8"/>
        <v>0.50341988785077252</v>
      </c>
      <c r="N86">
        <f t="shared" si="9"/>
        <v>-0.68633069000772395</v>
      </c>
      <c r="O86">
        <f t="shared" si="10"/>
        <v>0.49658011214922754</v>
      </c>
      <c r="P86">
        <f t="shared" si="11"/>
        <v>0</v>
      </c>
    </row>
    <row r="87" spans="1:16">
      <c r="A87">
        <v>8</v>
      </c>
      <c r="B87">
        <v>179</v>
      </c>
      <c r="C87">
        <v>72</v>
      </c>
      <c r="D87">
        <v>42</v>
      </c>
      <c r="E87">
        <v>130</v>
      </c>
      <c r="F87">
        <v>32.700000000000003</v>
      </c>
      <c r="G87">
        <v>36</v>
      </c>
      <c r="H87">
        <v>1</v>
      </c>
      <c r="K87">
        <f t="shared" si="6"/>
        <v>0.81433522975057326</v>
      </c>
      <c r="L87">
        <f t="shared" si="7"/>
        <v>2.2576743386507725</v>
      </c>
      <c r="M87">
        <f t="shared" si="8"/>
        <v>0.69303254529298075</v>
      </c>
      <c r="N87">
        <f t="shared" si="9"/>
        <v>-0.36667831799022238</v>
      </c>
      <c r="O87">
        <f t="shared" si="10"/>
        <v>0.69303254529298075</v>
      </c>
      <c r="P87">
        <f t="shared" si="11"/>
        <v>1</v>
      </c>
    </row>
    <row r="88" spans="1:16">
      <c r="A88">
        <v>0</v>
      </c>
      <c r="B88">
        <v>129</v>
      </c>
      <c r="C88">
        <v>110</v>
      </c>
      <c r="D88">
        <v>46</v>
      </c>
      <c r="E88">
        <v>130</v>
      </c>
      <c r="F88">
        <v>67.099999999999994</v>
      </c>
      <c r="G88">
        <v>26</v>
      </c>
      <c r="H88">
        <v>1</v>
      </c>
      <c r="K88">
        <f t="shared" si="6"/>
        <v>0.66888122591250765</v>
      </c>
      <c r="L88">
        <f t="shared" si="7"/>
        <v>1.9520521931207413</v>
      </c>
      <c r="M88">
        <f t="shared" si="8"/>
        <v>0.66125260172217448</v>
      </c>
      <c r="N88">
        <f t="shared" si="9"/>
        <v>-0.41361936126587562</v>
      </c>
      <c r="O88">
        <f t="shared" si="10"/>
        <v>0.66125260172217448</v>
      </c>
      <c r="P88">
        <f t="shared" si="11"/>
        <v>1</v>
      </c>
    </row>
    <row r="89" spans="1:16">
      <c r="A89">
        <v>0</v>
      </c>
      <c r="B89">
        <v>119</v>
      </c>
      <c r="C89">
        <v>64</v>
      </c>
      <c r="D89">
        <v>18</v>
      </c>
      <c r="E89">
        <v>92</v>
      </c>
      <c r="F89">
        <v>34.9</v>
      </c>
      <c r="G89">
        <v>23</v>
      </c>
      <c r="H89">
        <v>0</v>
      </c>
      <c r="K89">
        <f t="shared" si="6"/>
        <v>0.2220964212038174</v>
      </c>
      <c r="L89">
        <f t="shared" si="7"/>
        <v>1.24869177242379</v>
      </c>
      <c r="M89">
        <f t="shared" si="8"/>
        <v>0.44470301010713142</v>
      </c>
      <c r="N89">
        <f t="shared" si="9"/>
        <v>-0.81034861263943725</v>
      </c>
      <c r="O89">
        <f t="shared" si="10"/>
        <v>0.55529698989286858</v>
      </c>
      <c r="P89">
        <f t="shared" si="11"/>
        <v>0</v>
      </c>
    </row>
    <row r="90" spans="1:16">
      <c r="A90">
        <v>8</v>
      </c>
      <c r="B90">
        <v>181</v>
      </c>
      <c r="C90">
        <v>68</v>
      </c>
      <c r="D90">
        <v>36</v>
      </c>
      <c r="E90">
        <v>495</v>
      </c>
      <c r="F90">
        <v>30.1</v>
      </c>
      <c r="G90">
        <v>60</v>
      </c>
      <c r="H90">
        <v>1</v>
      </c>
      <c r="K90">
        <f t="shared" si="6"/>
        <v>0.90728783847243144</v>
      </c>
      <c r="L90">
        <f t="shared" si="7"/>
        <v>2.47759377824773</v>
      </c>
      <c r="M90">
        <f t="shared" si="8"/>
        <v>0.7124448501561691</v>
      </c>
      <c r="N90">
        <f t="shared" si="9"/>
        <v>-0.33905277312470788</v>
      </c>
      <c r="O90">
        <f t="shared" si="10"/>
        <v>0.7124448501561691</v>
      </c>
      <c r="P90">
        <f t="shared" si="11"/>
        <v>1</v>
      </c>
    </row>
    <row r="91" spans="1:16">
      <c r="A91">
        <v>1</v>
      </c>
      <c r="B91">
        <v>128</v>
      </c>
      <c r="C91">
        <v>98</v>
      </c>
      <c r="D91">
        <v>41</v>
      </c>
      <c r="E91">
        <v>58</v>
      </c>
      <c r="F91">
        <v>32</v>
      </c>
      <c r="G91">
        <v>33</v>
      </c>
      <c r="H91">
        <v>1</v>
      </c>
      <c r="K91">
        <f t="shared" si="6"/>
        <v>0.36638892867151818</v>
      </c>
      <c r="L91">
        <f t="shared" si="7"/>
        <v>1.4425161694646191</v>
      </c>
      <c r="M91">
        <f t="shared" si="8"/>
        <v>0.5905861289674933</v>
      </c>
      <c r="N91">
        <f t="shared" si="9"/>
        <v>-0.52663979628829705</v>
      </c>
      <c r="O91">
        <f t="shared" si="10"/>
        <v>0.5905861289674933</v>
      </c>
      <c r="P91">
        <f t="shared" si="11"/>
        <v>0</v>
      </c>
    </row>
    <row r="92" spans="1:16">
      <c r="A92">
        <v>8</v>
      </c>
      <c r="B92">
        <v>109</v>
      </c>
      <c r="C92">
        <v>76</v>
      </c>
      <c r="D92">
        <v>39</v>
      </c>
      <c r="E92">
        <v>114</v>
      </c>
      <c r="F92">
        <v>27.9</v>
      </c>
      <c r="G92">
        <v>31</v>
      </c>
      <c r="H92">
        <v>1</v>
      </c>
      <c r="K92">
        <f t="shared" si="6"/>
        <v>0.26979978375227454</v>
      </c>
      <c r="L92">
        <f t="shared" si="7"/>
        <v>1.3097022008204906</v>
      </c>
      <c r="M92">
        <f t="shared" si="8"/>
        <v>0.56704375150841368</v>
      </c>
      <c r="N92">
        <f t="shared" si="9"/>
        <v>-0.56731881507713922</v>
      </c>
      <c r="O92">
        <f t="shared" si="10"/>
        <v>0.56704375150841368</v>
      </c>
      <c r="P92">
        <f t="shared" si="11"/>
        <v>0</v>
      </c>
    </row>
    <row r="93" spans="1:16">
      <c r="A93">
        <v>5</v>
      </c>
      <c r="B93">
        <v>139</v>
      </c>
      <c r="C93">
        <v>80</v>
      </c>
      <c r="D93">
        <v>35</v>
      </c>
      <c r="E93">
        <v>160</v>
      </c>
      <c r="F93">
        <v>31.6</v>
      </c>
      <c r="G93">
        <v>25</v>
      </c>
      <c r="H93">
        <v>1</v>
      </c>
      <c r="K93">
        <f t="shared" si="6"/>
        <v>0.41445840881166429</v>
      </c>
      <c r="L93">
        <f t="shared" si="7"/>
        <v>1.5135507929013075</v>
      </c>
      <c r="M93">
        <f t="shared" si="8"/>
        <v>0.60215643828476861</v>
      </c>
      <c r="N93">
        <f t="shared" si="9"/>
        <v>-0.50723800317177159</v>
      </c>
      <c r="O93">
        <f t="shared" si="10"/>
        <v>0.60215643828476861</v>
      </c>
      <c r="P93">
        <f t="shared" si="11"/>
        <v>1</v>
      </c>
    </row>
    <row r="94" spans="1:16">
      <c r="A94">
        <v>9</v>
      </c>
      <c r="B94">
        <v>123</v>
      </c>
      <c r="C94">
        <v>70</v>
      </c>
      <c r="D94">
        <v>44</v>
      </c>
      <c r="E94">
        <v>94</v>
      </c>
      <c r="F94">
        <v>33.1</v>
      </c>
      <c r="G94">
        <v>40</v>
      </c>
      <c r="H94">
        <v>0</v>
      </c>
      <c r="K94">
        <f t="shared" si="6"/>
        <v>0.49844610496328773</v>
      </c>
      <c r="L94">
        <f t="shared" si="7"/>
        <v>1.6461613203628294</v>
      </c>
      <c r="M94">
        <f t="shared" si="8"/>
        <v>0.37790590932788803</v>
      </c>
      <c r="N94">
        <f t="shared" si="9"/>
        <v>-0.97311003146954744</v>
      </c>
      <c r="O94">
        <f t="shared" si="10"/>
        <v>0.62209409067211197</v>
      </c>
      <c r="P94">
        <f t="shared" si="11"/>
        <v>1</v>
      </c>
    </row>
    <row r="95" spans="1:16">
      <c r="A95">
        <v>5</v>
      </c>
      <c r="B95">
        <v>158</v>
      </c>
      <c r="C95">
        <v>84</v>
      </c>
      <c r="D95">
        <v>41</v>
      </c>
      <c r="E95">
        <v>210</v>
      </c>
      <c r="F95">
        <v>39.4</v>
      </c>
      <c r="G95">
        <v>29</v>
      </c>
      <c r="H95">
        <v>1</v>
      </c>
      <c r="K95">
        <f t="shared" si="6"/>
        <v>0.64913033549000954</v>
      </c>
      <c r="L95">
        <f t="shared" si="7"/>
        <v>1.9138756753049557</v>
      </c>
      <c r="M95">
        <f t="shared" si="8"/>
        <v>0.65681445901244784</v>
      </c>
      <c r="N95">
        <f t="shared" si="9"/>
        <v>-0.4203537067554633</v>
      </c>
      <c r="O95">
        <f t="shared" si="10"/>
        <v>0.65681445901244784</v>
      </c>
      <c r="P95">
        <f t="shared" si="11"/>
        <v>1</v>
      </c>
    </row>
    <row r="96" spans="1:16">
      <c r="A96">
        <v>3</v>
      </c>
      <c r="B96">
        <v>107</v>
      </c>
      <c r="C96">
        <v>62</v>
      </c>
      <c r="D96">
        <v>13</v>
      </c>
      <c r="E96">
        <v>48</v>
      </c>
      <c r="F96">
        <v>22.9</v>
      </c>
      <c r="G96">
        <v>23</v>
      </c>
      <c r="H96">
        <v>1</v>
      </c>
      <c r="K96">
        <f t="shared" si="6"/>
        <v>5.2833193498555031E-2</v>
      </c>
      <c r="L96">
        <f t="shared" si="7"/>
        <v>1.0542537740678588</v>
      </c>
      <c r="M96">
        <f t="shared" si="8"/>
        <v>0.51320522682074099</v>
      </c>
      <c r="N96">
        <f t="shared" si="9"/>
        <v>-0.66707946152880027</v>
      </c>
      <c r="O96">
        <f t="shared" si="10"/>
        <v>0.51320522682074099</v>
      </c>
      <c r="P96">
        <f t="shared" si="11"/>
        <v>0</v>
      </c>
    </row>
    <row r="97" spans="1:16">
      <c r="A97">
        <v>4</v>
      </c>
      <c r="B97">
        <v>109</v>
      </c>
      <c r="C97">
        <v>64</v>
      </c>
      <c r="D97">
        <v>44</v>
      </c>
      <c r="E97">
        <v>99</v>
      </c>
      <c r="F97">
        <v>34.799999999999997</v>
      </c>
      <c r="G97">
        <v>26</v>
      </c>
      <c r="H97">
        <v>1</v>
      </c>
      <c r="K97">
        <f t="shared" si="6"/>
        <v>0.27661922790486415</v>
      </c>
      <c r="L97">
        <f t="shared" si="7"/>
        <v>1.3186641649111339</v>
      </c>
      <c r="M97">
        <f t="shared" si="8"/>
        <v>0.56871718848584252</v>
      </c>
      <c r="N97">
        <f t="shared" si="9"/>
        <v>-0.5643720009554849</v>
      </c>
      <c r="O97">
        <f t="shared" si="10"/>
        <v>0.56871718848584252</v>
      </c>
      <c r="P97">
        <f t="shared" si="11"/>
        <v>0</v>
      </c>
    </row>
    <row r="98" spans="1:16">
      <c r="A98">
        <v>4</v>
      </c>
      <c r="B98">
        <v>148</v>
      </c>
      <c r="C98">
        <v>60</v>
      </c>
      <c r="D98">
        <v>27</v>
      </c>
      <c r="E98">
        <v>318</v>
      </c>
      <c r="F98">
        <v>30.9</v>
      </c>
      <c r="G98">
        <v>29</v>
      </c>
      <c r="H98">
        <v>1</v>
      </c>
      <c r="K98">
        <f t="shared" si="6"/>
        <v>0.45504337428186392</v>
      </c>
      <c r="L98">
        <f t="shared" si="7"/>
        <v>1.5762417499052446</v>
      </c>
      <c r="M98">
        <f t="shared" si="8"/>
        <v>0.61183767011120738</v>
      </c>
      <c r="N98">
        <f t="shared" si="9"/>
        <v>-0.49128827656979329</v>
      </c>
      <c r="O98">
        <f t="shared" si="10"/>
        <v>0.61183767011120738</v>
      </c>
      <c r="P98">
        <f t="shared" si="11"/>
        <v>1</v>
      </c>
    </row>
    <row r="99" spans="1:16">
      <c r="A99">
        <v>2</v>
      </c>
      <c r="B99">
        <v>99</v>
      </c>
      <c r="C99">
        <v>70</v>
      </c>
      <c r="D99">
        <v>16</v>
      </c>
      <c r="E99">
        <v>44</v>
      </c>
      <c r="F99">
        <v>20.399999999999999</v>
      </c>
      <c r="G99">
        <v>27</v>
      </c>
      <c r="H99">
        <v>0</v>
      </c>
      <c r="K99">
        <f t="shared" si="6"/>
        <v>-7.2933291365185338E-3</v>
      </c>
      <c r="L99">
        <f t="shared" si="7"/>
        <v>0.9927332026475667</v>
      </c>
      <c r="M99">
        <f t="shared" si="8"/>
        <v>0.50182332420184961</v>
      </c>
      <c r="N99">
        <f t="shared" si="9"/>
        <v>-0.6895071650581861</v>
      </c>
      <c r="O99">
        <f t="shared" si="10"/>
        <v>0.49817667579815039</v>
      </c>
      <c r="P99">
        <f t="shared" si="11"/>
        <v>0</v>
      </c>
    </row>
    <row r="100" spans="1:16">
      <c r="A100">
        <v>6</v>
      </c>
      <c r="B100">
        <v>103</v>
      </c>
      <c r="C100">
        <v>72</v>
      </c>
      <c r="D100">
        <v>32</v>
      </c>
      <c r="E100">
        <v>190</v>
      </c>
      <c r="F100">
        <v>37.700000000000003</v>
      </c>
      <c r="G100">
        <v>55</v>
      </c>
      <c r="H100">
        <v>0</v>
      </c>
      <c r="K100">
        <f t="shared" si="6"/>
        <v>0.43901722234666246</v>
      </c>
      <c r="L100">
        <f t="shared" si="7"/>
        <v>1.5511820021518457</v>
      </c>
      <c r="M100">
        <f t="shared" si="8"/>
        <v>0.39197517039416629</v>
      </c>
      <c r="N100">
        <f t="shared" si="9"/>
        <v>-0.93655678202899806</v>
      </c>
      <c r="O100">
        <f t="shared" si="10"/>
        <v>0.60802482960583371</v>
      </c>
      <c r="P100">
        <f t="shared" si="11"/>
        <v>1</v>
      </c>
    </row>
    <row r="101" spans="1:16">
      <c r="A101">
        <v>8</v>
      </c>
      <c r="B101">
        <v>196</v>
      </c>
      <c r="C101">
        <v>76</v>
      </c>
      <c r="D101">
        <v>29</v>
      </c>
      <c r="E101">
        <v>280</v>
      </c>
      <c r="F101">
        <v>37.5</v>
      </c>
      <c r="G101">
        <v>57</v>
      </c>
      <c r="H101">
        <v>1</v>
      </c>
      <c r="K101">
        <f t="shared" si="6"/>
        <v>1.0646405214791463</v>
      </c>
      <c r="L101">
        <f t="shared" si="7"/>
        <v>2.8997963821601314</v>
      </c>
      <c r="M101">
        <f t="shared" si="8"/>
        <v>0.74357635578755754</v>
      </c>
      <c r="N101">
        <f t="shared" si="9"/>
        <v>-0.29628382059094999</v>
      </c>
      <c r="O101">
        <f t="shared" si="10"/>
        <v>0.74357635578755754</v>
      </c>
      <c r="P101">
        <f t="shared" si="11"/>
        <v>1</v>
      </c>
    </row>
    <row r="102" spans="1:16">
      <c r="A102">
        <v>1</v>
      </c>
      <c r="B102">
        <v>96</v>
      </c>
      <c r="C102">
        <v>64</v>
      </c>
      <c r="D102">
        <v>27</v>
      </c>
      <c r="E102">
        <v>87</v>
      </c>
      <c r="F102">
        <v>33.200000000000003</v>
      </c>
      <c r="G102">
        <v>21</v>
      </c>
      <c r="H102">
        <v>0</v>
      </c>
      <c r="K102">
        <f t="shared" si="6"/>
        <v>7.3077509078482206E-2</v>
      </c>
      <c r="L102">
        <f t="shared" si="7"/>
        <v>1.0758139190287086</v>
      </c>
      <c r="M102">
        <f t="shared" si="8"/>
        <v>0.48173874875446865</v>
      </c>
      <c r="N102">
        <f t="shared" si="9"/>
        <v>-0.73035332690700638</v>
      </c>
      <c r="O102">
        <f t="shared" si="10"/>
        <v>0.51826125124553135</v>
      </c>
      <c r="P102">
        <f t="shared" si="11"/>
        <v>0</v>
      </c>
    </row>
    <row r="103" spans="1:16">
      <c r="A103">
        <v>0</v>
      </c>
      <c r="B103">
        <v>140</v>
      </c>
      <c r="C103">
        <v>65</v>
      </c>
      <c r="D103">
        <v>26</v>
      </c>
      <c r="E103">
        <v>130</v>
      </c>
      <c r="F103">
        <v>42.6</v>
      </c>
      <c r="G103">
        <v>24</v>
      </c>
      <c r="H103">
        <v>1</v>
      </c>
      <c r="K103">
        <f t="shared" si="6"/>
        <v>0.45617921499973157</v>
      </c>
      <c r="L103">
        <f t="shared" si="7"/>
        <v>1.578033126632711</v>
      </c>
      <c r="M103">
        <f t="shared" si="8"/>
        <v>0.61210738928473485</v>
      </c>
      <c r="N103">
        <f t="shared" si="9"/>
        <v>-0.49084753917586704</v>
      </c>
      <c r="O103">
        <f t="shared" si="10"/>
        <v>0.61210738928473485</v>
      </c>
      <c r="P103">
        <f t="shared" si="11"/>
        <v>1</v>
      </c>
    </row>
    <row r="104" spans="1:16">
      <c r="A104">
        <v>9</v>
      </c>
      <c r="B104">
        <v>112</v>
      </c>
      <c r="C104">
        <v>82</v>
      </c>
      <c r="D104">
        <v>32</v>
      </c>
      <c r="E104">
        <v>175</v>
      </c>
      <c r="F104">
        <v>34.200000000000003</v>
      </c>
      <c r="G104">
        <v>36</v>
      </c>
      <c r="H104">
        <v>1</v>
      </c>
      <c r="K104">
        <f t="shared" si="6"/>
        <v>0.37368317027150821</v>
      </c>
      <c r="L104">
        <f t="shared" si="7"/>
        <v>1.4530766996222286</v>
      </c>
      <c r="M104">
        <f t="shared" si="8"/>
        <v>0.59234866151800347</v>
      </c>
      <c r="N104">
        <f t="shared" si="9"/>
        <v>-0.52365986219732019</v>
      </c>
      <c r="O104">
        <f t="shared" si="10"/>
        <v>0.59234866151800347</v>
      </c>
      <c r="P104">
        <f t="shared" si="11"/>
        <v>0</v>
      </c>
    </row>
    <row r="105" spans="1:16">
      <c r="A105">
        <v>12</v>
      </c>
      <c r="B105">
        <v>151</v>
      </c>
      <c r="C105">
        <v>70</v>
      </c>
      <c r="D105">
        <v>40</v>
      </c>
      <c r="E105">
        <v>271</v>
      </c>
      <c r="F105">
        <v>41.8</v>
      </c>
      <c r="G105">
        <v>38</v>
      </c>
      <c r="H105">
        <v>1</v>
      </c>
      <c r="K105">
        <f t="shared" si="6"/>
        <v>0.76572747426804511</v>
      </c>
      <c r="L105">
        <f t="shared" si="7"/>
        <v>2.1505582815469957</v>
      </c>
      <c r="M105">
        <f t="shared" si="8"/>
        <v>0.68259593677188624</v>
      </c>
      <c r="N105">
        <f t="shared" si="9"/>
        <v>-0.3818521951028605</v>
      </c>
      <c r="O105">
        <f t="shared" si="10"/>
        <v>0.68259593677188624</v>
      </c>
      <c r="P105">
        <f t="shared" si="11"/>
        <v>1</v>
      </c>
    </row>
    <row r="106" spans="1:16">
      <c r="A106">
        <v>5</v>
      </c>
      <c r="B106">
        <v>109</v>
      </c>
      <c r="C106">
        <v>62</v>
      </c>
      <c r="D106">
        <v>41</v>
      </c>
      <c r="E106">
        <v>129</v>
      </c>
      <c r="F106">
        <v>35.799999999999997</v>
      </c>
      <c r="G106">
        <v>25</v>
      </c>
      <c r="H106">
        <v>1</v>
      </c>
      <c r="K106">
        <f t="shared" si="6"/>
        <v>0.28357799698936131</v>
      </c>
      <c r="L106">
        <f t="shared" si="7"/>
        <v>1.3278724463279608</v>
      </c>
      <c r="M106">
        <f t="shared" si="8"/>
        <v>0.57042319841131217</v>
      </c>
      <c r="N106">
        <f t="shared" si="9"/>
        <v>-0.56137674028250617</v>
      </c>
      <c r="O106">
        <f t="shared" si="10"/>
        <v>0.57042319841131217</v>
      </c>
      <c r="P106">
        <f t="shared" si="11"/>
        <v>0</v>
      </c>
    </row>
    <row r="107" spans="1:16">
      <c r="A107">
        <v>6</v>
      </c>
      <c r="B107">
        <v>125</v>
      </c>
      <c r="C107">
        <v>68</v>
      </c>
      <c r="D107">
        <v>30</v>
      </c>
      <c r="E107">
        <v>120</v>
      </c>
      <c r="F107">
        <v>30</v>
      </c>
      <c r="G107">
        <v>32</v>
      </c>
      <c r="H107">
        <v>0</v>
      </c>
      <c r="K107">
        <f t="shared" si="6"/>
        <v>0.36183586550178187</v>
      </c>
      <c r="L107">
        <f t="shared" si="7"/>
        <v>1.435963231512309</v>
      </c>
      <c r="M107">
        <f t="shared" si="8"/>
        <v>0.41051522743189117</v>
      </c>
      <c r="N107">
        <f t="shared" si="9"/>
        <v>-0.89034225593747729</v>
      </c>
      <c r="O107">
        <f t="shared" si="10"/>
        <v>0.58948477256810883</v>
      </c>
      <c r="P107">
        <f t="shared" si="11"/>
        <v>0</v>
      </c>
    </row>
    <row r="108" spans="1:16">
      <c r="A108">
        <v>0</v>
      </c>
      <c r="B108">
        <v>177</v>
      </c>
      <c r="C108">
        <v>60</v>
      </c>
      <c r="D108">
        <v>29</v>
      </c>
      <c r="E108">
        <v>478</v>
      </c>
      <c r="F108">
        <v>34.6</v>
      </c>
      <c r="G108">
        <v>21</v>
      </c>
      <c r="H108">
        <v>1</v>
      </c>
      <c r="K108">
        <f t="shared" si="6"/>
        <v>0.57112828080996958</v>
      </c>
      <c r="L108">
        <f t="shared" si="7"/>
        <v>1.7702632791557154</v>
      </c>
      <c r="M108">
        <f t="shared" si="8"/>
        <v>0.63902347927567127</v>
      </c>
      <c r="N108">
        <f t="shared" si="9"/>
        <v>-0.44781408149924518</v>
      </c>
      <c r="O108">
        <f t="shared" si="10"/>
        <v>0.63902347927567127</v>
      </c>
      <c r="P108">
        <f t="shared" si="11"/>
        <v>1</v>
      </c>
    </row>
    <row r="109" spans="1:16">
      <c r="A109">
        <v>7</v>
      </c>
      <c r="B109">
        <v>142</v>
      </c>
      <c r="C109">
        <v>60</v>
      </c>
      <c r="D109">
        <v>33</v>
      </c>
      <c r="E109">
        <v>190</v>
      </c>
      <c r="F109">
        <v>28.8</v>
      </c>
      <c r="G109">
        <v>61</v>
      </c>
      <c r="H109">
        <v>0</v>
      </c>
      <c r="K109">
        <f t="shared" si="6"/>
        <v>0.66143518249938582</v>
      </c>
      <c r="L109">
        <f t="shared" si="7"/>
        <v>1.9375711080469991</v>
      </c>
      <c r="M109">
        <f t="shared" si="8"/>
        <v>0.34041729143531618</v>
      </c>
      <c r="N109">
        <f t="shared" si="9"/>
        <v>-1.0775830861720159</v>
      </c>
      <c r="O109">
        <f t="shared" si="10"/>
        <v>0.65958270856468382</v>
      </c>
      <c r="P109">
        <f t="shared" si="11"/>
        <v>1</v>
      </c>
    </row>
    <row r="110" spans="1:16">
      <c r="A110">
        <v>1</v>
      </c>
      <c r="B110">
        <v>100</v>
      </c>
      <c r="C110">
        <v>66</v>
      </c>
      <c r="D110">
        <v>15</v>
      </c>
      <c r="E110">
        <v>56</v>
      </c>
      <c r="F110">
        <v>23.6</v>
      </c>
      <c r="G110">
        <v>26</v>
      </c>
      <c r="H110">
        <v>0</v>
      </c>
      <c r="K110">
        <f t="shared" si="6"/>
        <v>1.1493063376129792E-2</v>
      </c>
      <c r="L110">
        <f t="shared" si="7"/>
        <v>1.0115593623784429</v>
      </c>
      <c r="M110">
        <f t="shared" si="8"/>
        <v>0.49712676578314463</v>
      </c>
      <c r="N110">
        <f t="shared" si="9"/>
        <v>-0.69891022347035758</v>
      </c>
      <c r="O110">
        <f t="shared" si="10"/>
        <v>0.50287323421685537</v>
      </c>
      <c r="P110">
        <f t="shared" si="11"/>
        <v>0</v>
      </c>
    </row>
    <row r="111" spans="1:16">
      <c r="A111">
        <v>1</v>
      </c>
      <c r="B111">
        <v>87</v>
      </c>
      <c r="C111">
        <v>78</v>
      </c>
      <c r="D111">
        <v>27</v>
      </c>
      <c r="E111">
        <v>32</v>
      </c>
      <c r="F111">
        <v>34.6</v>
      </c>
      <c r="G111">
        <v>22</v>
      </c>
      <c r="H111">
        <v>0</v>
      </c>
      <c r="K111">
        <f t="shared" si="6"/>
        <v>3.4850996466891992E-2</v>
      </c>
      <c r="L111">
        <f t="shared" si="7"/>
        <v>1.0354654092999267</v>
      </c>
      <c r="M111">
        <f t="shared" si="8"/>
        <v>0.49128813264576066</v>
      </c>
      <c r="N111">
        <f t="shared" si="9"/>
        <v>-0.71072449510484703</v>
      </c>
      <c r="O111">
        <f t="shared" si="10"/>
        <v>0.50871186735423934</v>
      </c>
      <c r="P111">
        <f t="shared" si="11"/>
        <v>0</v>
      </c>
    </row>
    <row r="112" spans="1:16">
      <c r="A112">
        <v>4</v>
      </c>
      <c r="B112">
        <v>197</v>
      </c>
      <c r="C112">
        <v>70</v>
      </c>
      <c r="D112">
        <v>39</v>
      </c>
      <c r="E112">
        <v>744</v>
      </c>
      <c r="F112">
        <v>36.700000000000003</v>
      </c>
      <c r="G112">
        <v>31</v>
      </c>
      <c r="H112">
        <v>0</v>
      </c>
      <c r="K112">
        <f t="shared" si="6"/>
        <v>0.82504398618739905</v>
      </c>
      <c r="L112">
        <f t="shared" si="7"/>
        <v>2.2819811387717759</v>
      </c>
      <c r="M112">
        <f t="shared" si="8"/>
        <v>0.30469401185353329</v>
      </c>
      <c r="N112">
        <f t="shared" si="9"/>
        <v>-1.1884472457811164</v>
      </c>
      <c r="O112">
        <f t="shared" si="10"/>
        <v>0.69530598814646671</v>
      </c>
      <c r="P112">
        <f t="shared" si="11"/>
        <v>1</v>
      </c>
    </row>
    <row r="113" spans="1:16">
      <c r="A113">
        <v>0</v>
      </c>
      <c r="B113">
        <v>117</v>
      </c>
      <c r="C113">
        <v>80</v>
      </c>
      <c r="D113">
        <v>31</v>
      </c>
      <c r="E113">
        <v>53</v>
      </c>
      <c r="F113">
        <v>45.2</v>
      </c>
      <c r="G113">
        <v>24</v>
      </c>
      <c r="H113">
        <v>0</v>
      </c>
      <c r="K113">
        <f t="shared" si="6"/>
        <v>0.34448838220595512</v>
      </c>
      <c r="L113">
        <f t="shared" si="7"/>
        <v>1.4112677052643685</v>
      </c>
      <c r="M113">
        <f t="shared" si="8"/>
        <v>0.41471960903252802</v>
      </c>
      <c r="N113">
        <f t="shared" si="9"/>
        <v>-0.88015262798507643</v>
      </c>
      <c r="O113">
        <f t="shared" si="10"/>
        <v>0.58528039096747198</v>
      </c>
      <c r="P113">
        <f t="shared" si="11"/>
        <v>0</v>
      </c>
    </row>
    <row r="114" spans="1:16">
      <c r="A114">
        <v>6</v>
      </c>
      <c r="B114">
        <v>134</v>
      </c>
      <c r="C114">
        <v>80</v>
      </c>
      <c r="D114">
        <v>37</v>
      </c>
      <c r="E114">
        <v>370</v>
      </c>
      <c r="F114">
        <v>46.2</v>
      </c>
      <c r="G114">
        <v>46</v>
      </c>
      <c r="H114">
        <v>1</v>
      </c>
      <c r="K114">
        <f t="shared" si="6"/>
        <v>0.65884841892035528</v>
      </c>
      <c r="L114">
        <f t="shared" si="7"/>
        <v>1.9325655465661484</v>
      </c>
      <c r="M114">
        <f t="shared" si="8"/>
        <v>0.65900165431223268</v>
      </c>
      <c r="N114">
        <f t="shared" si="9"/>
        <v>-0.4170292341455536</v>
      </c>
      <c r="O114">
        <f t="shared" si="10"/>
        <v>0.65900165431223268</v>
      </c>
      <c r="P114">
        <f t="shared" si="11"/>
        <v>1</v>
      </c>
    </row>
    <row r="115" spans="1:16">
      <c r="A115">
        <v>1</v>
      </c>
      <c r="B115">
        <v>79</v>
      </c>
      <c r="C115">
        <v>80</v>
      </c>
      <c r="D115">
        <v>25</v>
      </c>
      <c r="E115">
        <v>37</v>
      </c>
      <c r="F115">
        <v>25.4</v>
      </c>
      <c r="G115">
        <v>22</v>
      </c>
      <c r="H115">
        <v>0</v>
      </c>
      <c r="K115">
        <f t="shared" si="6"/>
        <v>-0.1158235232556124</v>
      </c>
      <c r="L115">
        <f t="shared" si="7"/>
        <v>0.89063238533315225</v>
      </c>
      <c r="M115">
        <f t="shared" si="8"/>
        <v>0.52892355370490907</v>
      </c>
      <c r="N115">
        <f t="shared" si="9"/>
        <v>-0.63691136852135499</v>
      </c>
      <c r="O115">
        <f t="shared" si="10"/>
        <v>0.47107644629509088</v>
      </c>
      <c r="P115">
        <f t="shared" si="11"/>
        <v>0</v>
      </c>
    </row>
    <row r="116" spans="1:16">
      <c r="A116">
        <v>3</v>
      </c>
      <c r="B116">
        <v>74</v>
      </c>
      <c r="C116">
        <v>68</v>
      </c>
      <c r="D116">
        <v>28</v>
      </c>
      <c r="E116">
        <v>45</v>
      </c>
      <c r="F116">
        <v>29.7</v>
      </c>
      <c r="G116">
        <v>23</v>
      </c>
      <c r="H116">
        <v>0</v>
      </c>
      <c r="K116">
        <f t="shared" si="6"/>
        <v>-6.4706857982117838E-2</v>
      </c>
      <c r="L116">
        <f t="shared" si="7"/>
        <v>0.93734219749059844</v>
      </c>
      <c r="M116">
        <f t="shared" si="8"/>
        <v>0.51617107256285466</v>
      </c>
      <c r="N116">
        <f t="shared" si="9"/>
        <v>-0.66131703247195694</v>
      </c>
      <c r="O116">
        <f t="shared" si="10"/>
        <v>0.48382892743714534</v>
      </c>
      <c r="P116">
        <f t="shared" si="11"/>
        <v>0</v>
      </c>
    </row>
    <row r="117" spans="1:16">
      <c r="A117">
        <v>7</v>
      </c>
      <c r="B117">
        <v>181</v>
      </c>
      <c r="C117">
        <v>84</v>
      </c>
      <c r="D117">
        <v>21</v>
      </c>
      <c r="E117">
        <v>192</v>
      </c>
      <c r="F117">
        <v>35.9</v>
      </c>
      <c r="G117">
        <v>51</v>
      </c>
      <c r="H117">
        <v>1</v>
      </c>
      <c r="K117">
        <f t="shared" si="6"/>
        <v>0.88888601683504487</v>
      </c>
      <c r="L117">
        <f t="shared" si="7"/>
        <v>2.432418468240364</v>
      </c>
      <c r="M117">
        <f t="shared" si="8"/>
        <v>0.7086602320629477</v>
      </c>
      <c r="N117">
        <f t="shared" si="9"/>
        <v>-0.34437908866312089</v>
      </c>
      <c r="O117">
        <f t="shared" si="10"/>
        <v>0.7086602320629477</v>
      </c>
      <c r="P117">
        <f t="shared" si="11"/>
        <v>1</v>
      </c>
    </row>
    <row r="118" spans="1:16">
      <c r="A118">
        <v>4</v>
      </c>
      <c r="B118">
        <v>91</v>
      </c>
      <c r="C118">
        <v>70</v>
      </c>
      <c r="D118">
        <v>32</v>
      </c>
      <c r="E118">
        <v>88</v>
      </c>
      <c r="F118">
        <v>33.1</v>
      </c>
      <c r="G118">
        <v>22</v>
      </c>
      <c r="H118">
        <v>0</v>
      </c>
      <c r="K118">
        <f t="shared" si="6"/>
        <v>8.950741198366946E-2</v>
      </c>
      <c r="L118">
        <f t="shared" si="7"/>
        <v>1.0936354392903265</v>
      </c>
      <c r="M118">
        <f t="shared" si="8"/>
        <v>0.47763807453458429</v>
      </c>
      <c r="N118">
        <f t="shared" si="9"/>
        <v>-0.7389019995314593</v>
      </c>
      <c r="O118">
        <f t="shared" si="10"/>
        <v>0.52236192546541571</v>
      </c>
      <c r="P118">
        <f t="shared" si="11"/>
        <v>0</v>
      </c>
    </row>
    <row r="119" spans="1:16">
      <c r="A119">
        <v>6</v>
      </c>
      <c r="B119">
        <v>119</v>
      </c>
      <c r="C119">
        <v>50</v>
      </c>
      <c r="D119">
        <v>22</v>
      </c>
      <c r="E119">
        <v>176</v>
      </c>
      <c r="F119">
        <v>27.1</v>
      </c>
      <c r="G119">
        <v>33</v>
      </c>
      <c r="H119">
        <v>1</v>
      </c>
      <c r="K119">
        <f t="shared" si="6"/>
        <v>0.28428716160278023</v>
      </c>
      <c r="L119">
        <f t="shared" si="7"/>
        <v>1.3288144604600951</v>
      </c>
      <c r="M119">
        <f t="shared" si="8"/>
        <v>0.5705969638292121</v>
      </c>
      <c r="N119">
        <f t="shared" si="9"/>
        <v>-0.5610721612312437</v>
      </c>
      <c r="O119">
        <f t="shared" si="10"/>
        <v>0.5705969638292121</v>
      </c>
      <c r="P119">
        <f t="shared" si="11"/>
        <v>0</v>
      </c>
    </row>
    <row r="120" spans="1:16">
      <c r="A120">
        <v>2</v>
      </c>
      <c r="B120">
        <v>146</v>
      </c>
      <c r="C120">
        <v>76</v>
      </c>
      <c r="D120">
        <v>35</v>
      </c>
      <c r="E120">
        <v>194</v>
      </c>
      <c r="F120">
        <v>38.200000000000003</v>
      </c>
      <c r="G120">
        <v>29</v>
      </c>
      <c r="H120">
        <v>0</v>
      </c>
      <c r="K120">
        <f t="shared" si="6"/>
        <v>0.51504758108700865</v>
      </c>
      <c r="L120">
        <f t="shared" si="7"/>
        <v>1.6737181372312597</v>
      </c>
      <c r="M120">
        <f t="shared" si="8"/>
        <v>0.37401100216028726</v>
      </c>
      <c r="N120">
        <f t="shared" si="9"/>
        <v>-0.98347006445941743</v>
      </c>
      <c r="O120">
        <f t="shared" si="10"/>
        <v>0.62598899783971274</v>
      </c>
      <c r="P120">
        <f t="shared" si="11"/>
        <v>1</v>
      </c>
    </row>
    <row r="121" spans="1:16">
      <c r="A121">
        <v>0</v>
      </c>
      <c r="B121">
        <v>165</v>
      </c>
      <c r="C121">
        <v>90</v>
      </c>
      <c r="D121">
        <v>33</v>
      </c>
      <c r="E121">
        <v>680</v>
      </c>
      <c r="F121">
        <v>52.3</v>
      </c>
      <c r="G121">
        <v>23</v>
      </c>
      <c r="H121">
        <v>0</v>
      </c>
      <c r="K121">
        <f t="shared" si="6"/>
        <v>0.66033668537087176</v>
      </c>
      <c r="L121">
        <f t="shared" si="7"/>
        <v>1.9354438603501727</v>
      </c>
      <c r="M121">
        <f t="shared" si="8"/>
        <v>0.3406639839062392</v>
      </c>
      <c r="N121">
        <f t="shared" si="9"/>
        <v>-1.0768586719482143</v>
      </c>
      <c r="O121">
        <f t="shared" si="10"/>
        <v>0.6593360160937608</v>
      </c>
      <c r="P121">
        <f t="shared" si="11"/>
        <v>1</v>
      </c>
    </row>
    <row r="122" spans="1:16">
      <c r="A122">
        <v>9</v>
      </c>
      <c r="B122">
        <v>124</v>
      </c>
      <c r="C122">
        <v>70</v>
      </c>
      <c r="D122">
        <v>33</v>
      </c>
      <c r="E122">
        <v>402</v>
      </c>
      <c r="F122">
        <v>35.4</v>
      </c>
      <c r="G122">
        <v>34</v>
      </c>
      <c r="H122">
        <v>0</v>
      </c>
      <c r="K122">
        <f t="shared" si="6"/>
        <v>0.43524174213245842</v>
      </c>
      <c r="L122">
        <f t="shared" si="7"/>
        <v>1.5453365867626645</v>
      </c>
      <c r="M122">
        <f t="shared" si="8"/>
        <v>0.39287534906016863</v>
      </c>
      <c r="N122">
        <f t="shared" si="9"/>
        <v>-0.93426289538839247</v>
      </c>
      <c r="O122">
        <f t="shared" si="10"/>
        <v>0.60712465093983137</v>
      </c>
      <c r="P122">
        <f t="shared" si="11"/>
        <v>1</v>
      </c>
    </row>
    <row r="123" spans="1:16">
      <c r="A123">
        <v>2</v>
      </c>
      <c r="B123">
        <v>90</v>
      </c>
      <c r="C123">
        <v>80</v>
      </c>
      <c r="D123">
        <v>14</v>
      </c>
      <c r="E123">
        <v>55</v>
      </c>
      <c r="F123">
        <v>24.4</v>
      </c>
      <c r="G123">
        <v>24</v>
      </c>
      <c r="H123">
        <v>0</v>
      </c>
      <c r="K123">
        <f t="shared" si="6"/>
        <v>-5.4307611487438207E-2</v>
      </c>
      <c r="L123">
        <f t="shared" si="7"/>
        <v>0.94714071032297431</v>
      </c>
      <c r="M123">
        <f t="shared" si="8"/>
        <v>0.51357356697355938</v>
      </c>
      <c r="N123">
        <f t="shared" si="9"/>
        <v>-0.66636199410379082</v>
      </c>
      <c r="O123">
        <f t="shared" si="10"/>
        <v>0.48642643302644062</v>
      </c>
      <c r="P123">
        <f t="shared" si="11"/>
        <v>0</v>
      </c>
    </row>
    <row r="124" spans="1:16">
      <c r="A124">
        <v>12</v>
      </c>
      <c r="B124">
        <v>92</v>
      </c>
      <c r="C124">
        <v>62</v>
      </c>
      <c r="D124">
        <v>7</v>
      </c>
      <c r="E124">
        <v>258</v>
      </c>
      <c r="F124">
        <v>27.6</v>
      </c>
      <c r="G124">
        <v>44</v>
      </c>
      <c r="H124">
        <v>1</v>
      </c>
      <c r="K124">
        <f t="shared" si="6"/>
        <v>0.21002070730465699</v>
      </c>
      <c r="L124">
        <f t="shared" si="7"/>
        <v>1.2337036063686773</v>
      </c>
      <c r="M124">
        <f t="shared" si="8"/>
        <v>0.55231302973732677</v>
      </c>
      <c r="N124">
        <f t="shared" si="9"/>
        <v>-0.59364031057828714</v>
      </c>
      <c r="O124">
        <f t="shared" si="10"/>
        <v>0.55231302973732677</v>
      </c>
      <c r="P124">
        <f t="shared" si="11"/>
        <v>0</v>
      </c>
    </row>
    <row r="125" spans="1:16">
      <c r="A125">
        <v>1</v>
      </c>
      <c r="B125">
        <v>193</v>
      </c>
      <c r="C125">
        <v>50</v>
      </c>
      <c r="D125">
        <v>16</v>
      </c>
      <c r="E125">
        <v>375</v>
      </c>
      <c r="F125">
        <v>25.9</v>
      </c>
      <c r="G125">
        <v>24</v>
      </c>
      <c r="H125">
        <v>0</v>
      </c>
      <c r="K125">
        <f t="shared" si="6"/>
        <v>0.60601595411248244</v>
      </c>
      <c r="L125">
        <f t="shared" si="7"/>
        <v>1.8331136224936815</v>
      </c>
      <c r="M125">
        <f t="shared" si="8"/>
        <v>0.35296854741738481</v>
      </c>
      <c r="N125">
        <f t="shared" si="9"/>
        <v>-1.041376326819162</v>
      </c>
      <c r="O125">
        <f t="shared" si="10"/>
        <v>0.64703145258261519</v>
      </c>
      <c r="P125">
        <f t="shared" si="11"/>
        <v>1</v>
      </c>
    </row>
    <row r="126" spans="1:16">
      <c r="A126">
        <v>11</v>
      </c>
      <c r="B126">
        <v>155</v>
      </c>
      <c r="C126">
        <v>76</v>
      </c>
      <c r="D126">
        <v>28</v>
      </c>
      <c r="E126">
        <v>150</v>
      </c>
      <c r="F126">
        <v>33.299999999999997</v>
      </c>
      <c r="G126">
        <v>51</v>
      </c>
      <c r="H126">
        <v>1</v>
      </c>
      <c r="K126">
        <f t="shared" si="6"/>
        <v>0.76230927238232948</v>
      </c>
      <c r="L126">
        <f t="shared" si="7"/>
        <v>2.1432197885442887</v>
      </c>
      <c r="M126">
        <f t="shared" si="8"/>
        <v>0.68185489171181135</v>
      </c>
      <c r="N126">
        <f t="shared" si="9"/>
        <v>-0.38293841252816663</v>
      </c>
      <c r="O126">
        <f t="shared" si="10"/>
        <v>0.68185489171181135</v>
      </c>
      <c r="P126">
        <f t="shared" si="11"/>
        <v>1</v>
      </c>
    </row>
    <row r="127" spans="1:16">
      <c r="A127">
        <v>3</v>
      </c>
      <c r="B127">
        <v>191</v>
      </c>
      <c r="C127">
        <v>68</v>
      </c>
      <c r="D127">
        <v>15</v>
      </c>
      <c r="E127">
        <v>130</v>
      </c>
      <c r="F127">
        <v>30.9</v>
      </c>
      <c r="G127">
        <v>34</v>
      </c>
      <c r="H127">
        <v>0</v>
      </c>
      <c r="K127">
        <f t="shared" si="6"/>
        <v>0.74701845269882761</v>
      </c>
      <c r="L127">
        <f t="shared" si="7"/>
        <v>2.1106974812491432</v>
      </c>
      <c r="M127">
        <f t="shared" si="8"/>
        <v>0.32147131182889443</v>
      </c>
      <c r="N127">
        <f t="shared" si="9"/>
        <v>-1.134846971544391</v>
      </c>
      <c r="O127">
        <f t="shared" si="10"/>
        <v>0.67852868817110557</v>
      </c>
      <c r="P127">
        <f t="shared" si="11"/>
        <v>1</v>
      </c>
    </row>
    <row r="128" spans="1:16">
      <c r="A128">
        <v>5</v>
      </c>
      <c r="B128">
        <v>96</v>
      </c>
      <c r="C128">
        <v>74</v>
      </c>
      <c r="D128">
        <v>18</v>
      </c>
      <c r="E128">
        <v>67</v>
      </c>
      <c r="F128">
        <v>33.6</v>
      </c>
      <c r="G128">
        <v>43</v>
      </c>
      <c r="H128">
        <v>0</v>
      </c>
      <c r="K128">
        <f t="shared" si="6"/>
        <v>0.24503793913949279</v>
      </c>
      <c r="L128">
        <f t="shared" si="7"/>
        <v>1.2776697859776092</v>
      </c>
      <c r="M128">
        <f t="shared" si="8"/>
        <v>0.43904520583118034</v>
      </c>
      <c r="N128">
        <f t="shared" si="9"/>
        <v>-0.82315289664998426</v>
      </c>
      <c r="O128">
        <f t="shared" si="10"/>
        <v>0.56095479416881966</v>
      </c>
      <c r="P128">
        <f t="shared" si="11"/>
        <v>0</v>
      </c>
    </row>
    <row r="129" spans="1:16">
      <c r="A129">
        <v>2</v>
      </c>
      <c r="B129">
        <v>108</v>
      </c>
      <c r="C129">
        <v>62</v>
      </c>
      <c r="D129">
        <v>32</v>
      </c>
      <c r="E129">
        <v>56</v>
      </c>
      <c r="F129">
        <v>25.2</v>
      </c>
      <c r="G129">
        <v>21</v>
      </c>
      <c r="H129">
        <v>0</v>
      </c>
      <c r="K129">
        <f t="shared" si="6"/>
        <v>9.7145305744529398E-2</v>
      </c>
      <c r="L129">
        <f t="shared" si="7"/>
        <v>1.1020204918957379</v>
      </c>
      <c r="M129">
        <f t="shared" si="8"/>
        <v>0.47573275515413049</v>
      </c>
      <c r="N129">
        <f t="shared" si="9"/>
        <v>-0.74289902116829565</v>
      </c>
      <c r="O129">
        <f t="shared" si="10"/>
        <v>0.52426724484586951</v>
      </c>
      <c r="P129">
        <f t="shared" si="11"/>
        <v>0</v>
      </c>
    </row>
    <row r="130" spans="1:16">
      <c r="A130">
        <v>1</v>
      </c>
      <c r="B130">
        <v>71</v>
      </c>
      <c r="C130">
        <v>78</v>
      </c>
      <c r="D130">
        <v>50</v>
      </c>
      <c r="E130">
        <v>45</v>
      </c>
      <c r="F130">
        <v>33.200000000000003</v>
      </c>
      <c r="G130">
        <v>21</v>
      </c>
      <c r="H130">
        <v>0</v>
      </c>
      <c r="K130">
        <f t="shared" si="6"/>
        <v>-4.3102241418694842E-2</v>
      </c>
      <c r="L130">
        <f t="shared" si="7"/>
        <v>0.95781345685402686</v>
      </c>
      <c r="M130">
        <f t="shared" si="8"/>
        <v>0.51077389242531868</v>
      </c>
      <c r="N130">
        <f t="shared" si="9"/>
        <v>-0.67182826727852596</v>
      </c>
      <c r="O130">
        <f t="shared" si="10"/>
        <v>0.48922610757468132</v>
      </c>
      <c r="P130">
        <f t="shared" si="11"/>
        <v>0</v>
      </c>
    </row>
    <row r="131" spans="1:16">
      <c r="A131">
        <v>2</v>
      </c>
      <c r="B131">
        <v>100</v>
      </c>
      <c r="C131">
        <v>70</v>
      </c>
      <c r="D131">
        <v>52</v>
      </c>
      <c r="E131">
        <v>57</v>
      </c>
      <c r="F131">
        <v>40.5</v>
      </c>
      <c r="G131">
        <v>25</v>
      </c>
      <c r="H131">
        <v>0</v>
      </c>
      <c r="K131">
        <f t="shared" ref="K131:K194" si="12">J$3+A131*J$4+J$5*B131++J$6*C131+J$7*D131+J$8*E131+J$9*F131+J$10*G131</f>
        <v>0.26390886931967167</v>
      </c>
      <c r="L131">
        <f t="shared" ref="L131:L194" si="13">EXP(K131)</f>
        <v>1.302009537879284</v>
      </c>
      <c r="M131">
        <f t="shared" ref="M131:M194" si="14">IF(H131=1,L131/(1+L131),1-(L131/(1+L131)))</f>
        <v>0.4344030654717641</v>
      </c>
      <c r="N131">
        <f t="shared" ref="N131:N194" si="15">LN(M131)</f>
        <v>-0.83378245359227332</v>
      </c>
      <c r="O131">
        <f t="shared" ref="O131:O194" si="16">(EXP(J$3+J$4*A131+J$5*B131+J$6*C131+J$7*D131+J$8*E131+J$9*F131+J$10*G131))/(1+(EXP(J$3+J$4*A131+J$5*B131+J$6*C131+J$7*D131+J$8*E131+J$9*F131+J$10*G131)))</f>
        <v>0.5655969345282359</v>
      </c>
      <c r="P131">
        <f t="shared" ref="P131:P194" si="17">IF(O131&lt;0.6, 0,1)</f>
        <v>0</v>
      </c>
    </row>
    <row r="132" spans="1:16">
      <c r="A132">
        <v>0</v>
      </c>
      <c r="B132">
        <v>104</v>
      </c>
      <c r="C132">
        <v>64</v>
      </c>
      <c r="D132">
        <v>23</v>
      </c>
      <c r="E132">
        <v>116</v>
      </c>
      <c r="F132">
        <v>27.8</v>
      </c>
      <c r="G132">
        <v>23</v>
      </c>
      <c r="H132">
        <v>0</v>
      </c>
      <c r="K132">
        <f t="shared" si="12"/>
        <v>6.0480756773404198E-2</v>
      </c>
      <c r="L132">
        <f t="shared" si="13"/>
        <v>1.0623471543866139</v>
      </c>
      <c r="M132">
        <f t="shared" si="14"/>
        <v>0.48488441816063754</v>
      </c>
      <c r="N132">
        <f t="shared" si="15"/>
        <v>-0.72384472951657652</v>
      </c>
      <c r="O132">
        <f t="shared" si="16"/>
        <v>0.51511558183936246</v>
      </c>
      <c r="P132">
        <f t="shared" si="17"/>
        <v>0</v>
      </c>
    </row>
    <row r="133" spans="1:16">
      <c r="A133">
        <v>2</v>
      </c>
      <c r="B133">
        <v>108</v>
      </c>
      <c r="C133">
        <v>62</v>
      </c>
      <c r="D133">
        <v>10</v>
      </c>
      <c r="E133">
        <v>278</v>
      </c>
      <c r="F133">
        <v>25.3</v>
      </c>
      <c r="G133">
        <v>22</v>
      </c>
      <c r="H133">
        <v>0</v>
      </c>
      <c r="K133">
        <f t="shared" si="12"/>
        <v>3.5668223792581888E-2</v>
      </c>
      <c r="L133">
        <f t="shared" si="13"/>
        <v>1.0363119657946482</v>
      </c>
      <c r="M133">
        <f t="shared" si="14"/>
        <v>0.49108388930463365</v>
      </c>
      <c r="N133">
        <f t="shared" si="15"/>
        <v>-0.71114031180057169</v>
      </c>
      <c r="O133">
        <f t="shared" si="16"/>
        <v>0.50891611069536635</v>
      </c>
      <c r="P133">
        <f t="shared" si="17"/>
        <v>0</v>
      </c>
    </row>
    <row r="134" spans="1:16">
      <c r="A134">
        <v>10</v>
      </c>
      <c r="B134">
        <v>129</v>
      </c>
      <c r="C134">
        <v>76</v>
      </c>
      <c r="D134">
        <v>28</v>
      </c>
      <c r="E134">
        <v>122</v>
      </c>
      <c r="F134">
        <v>35.9</v>
      </c>
      <c r="G134">
        <v>39</v>
      </c>
      <c r="H134">
        <v>0</v>
      </c>
      <c r="K134">
        <f t="shared" si="12"/>
        <v>0.53242710159855955</v>
      </c>
      <c r="L134">
        <f t="shared" si="13"/>
        <v>1.7030607980456043</v>
      </c>
      <c r="M134">
        <f t="shared" si="14"/>
        <v>0.36995098324204578</v>
      </c>
      <c r="N134">
        <f t="shared" si="15"/>
        <v>-0.99438475984401631</v>
      </c>
      <c r="O134">
        <f t="shared" si="16"/>
        <v>0.63004901675795422</v>
      </c>
      <c r="P134">
        <f t="shared" si="17"/>
        <v>1</v>
      </c>
    </row>
    <row r="135" spans="1:16">
      <c r="A135">
        <v>7</v>
      </c>
      <c r="B135">
        <v>133</v>
      </c>
      <c r="C135">
        <v>88</v>
      </c>
      <c r="D135">
        <v>15</v>
      </c>
      <c r="E135">
        <v>155</v>
      </c>
      <c r="F135">
        <v>32.4</v>
      </c>
      <c r="G135">
        <v>37</v>
      </c>
      <c r="H135">
        <v>0</v>
      </c>
      <c r="K135">
        <f t="shared" si="12"/>
        <v>0.43929545601062359</v>
      </c>
      <c r="L135">
        <f t="shared" si="13"/>
        <v>1.5516136532509237</v>
      </c>
      <c r="M135">
        <f t="shared" si="14"/>
        <v>0.39190886078146436</v>
      </c>
      <c r="N135">
        <f t="shared" si="15"/>
        <v>-0.93672596422999443</v>
      </c>
      <c r="O135">
        <f t="shared" si="16"/>
        <v>0.60809113921853564</v>
      </c>
      <c r="P135">
        <f t="shared" si="17"/>
        <v>1</v>
      </c>
    </row>
    <row r="136" spans="1:16">
      <c r="A136">
        <v>7</v>
      </c>
      <c r="B136">
        <v>136</v>
      </c>
      <c r="C136">
        <v>74</v>
      </c>
      <c r="D136">
        <v>26</v>
      </c>
      <c r="E136">
        <v>135</v>
      </c>
      <c r="F136">
        <v>26</v>
      </c>
      <c r="G136">
        <v>51</v>
      </c>
      <c r="H136">
        <v>0</v>
      </c>
      <c r="K136">
        <f t="shared" si="12"/>
        <v>0.51499786891672394</v>
      </c>
      <c r="L136">
        <f t="shared" si="13"/>
        <v>1.6736349351383086</v>
      </c>
      <c r="M136">
        <f t="shared" si="14"/>
        <v>0.3740226411831612</v>
      </c>
      <c r="N136">
        <f t="shared" si="15"/>
        <v>-0.98343894547706034</v>
      </c>
      <c r="O136">
        <f t="shared" si="16"/>
        <v>0.6259773588168388</v>
      </c>
      <c r="P136">
        <f t="shared" si="17"/>
        <v>1</v>
      </c>
    </row>
    <row r="137" spans="1:16">
      <c r="A137">
        <v>5</v>
      </c>
      <c r="B137">
        <v>155</v>
      </c>
      <c r="C137">
        <v>84</v>
      </c>
      <c r="D137">
        <v>44</v>
      </c>
      <c r="E137">
        <v>545</v>
      </c>
      <c r="F137">
        <v>38.700000000000003</v>
      </c>
      <c r="G137">
        <v>34</v>
      </c>
      <c r="H137">
        <v>0</v>
      </c>
      <c r="K137">
        <f t="shared" si="12"/>
        <v>0.62696535045812163</v>
      </c>
      <c r="L137">
        <f t="shared" si="13"/>
        <v>1.8719213259911456</v>
      </c>
      <c r="M137">
        <f t="shared" si="14"/>
        <v>0.34819895341488305</v>
      </c>
      <c r="N137">
        <f t="shared" si="15"/>
        <v>-1.0549812573536481</v>
      </c>
      <c r="O137">
        <f t="shared" si="16"/>
        <v>0.65180104658511695</v>
      </c>
      <c r="P137">
        <f t="shared" si="17"/>
        <v>1</v>
      </c>
    </row>
    <row r="138" spans="1:16">
      <c r="A138">
        <v>1</v>
      </c>
      <c r="B138">
        <v>119</v>
      </c>
      <c r="C138">
        <v>86</v>
      </c>
      <c r="D138">
        <v>39</v>
      </c>
      <c r="E138">
        <v>220</v>
      </c>
      <c r="F138">
        <v>45.6</v>
      </c>
      <c r="G138">
        <v>29</v>
      </c>
      <c r="H138">
        <v>1</v>
      </c>
      <c r="K138">
        <f t="shared" si="12"/>
        <v>0.40319891174244638</v>
      </c>
      <c r="L138">
        <f t="shared" si="13"/>
        <v>1.4966045542779511</v>
      </c>
      <c r="M138">
        <f t="shared" si="14"/>
        <v>0.59945598982165904</v>
      </c>
      <c r="N138">
        <f t="shared" si="15"/>
        <v>-0.51173271868278503</v>
      </c>
      <c r="O138">
        <f t="shared" si="16"/>
        <v>0.59945598982165904</v>
      </c>
      <c r="P138">
        <f t="shared" si="17"/>
        <v>0</v>
      </c>
    </row>
    <row r="139" spans="1:16">
      <c r="A139">
        <v>4</v>
      </c>
      <c r="B139">
        <v>96</v>
      </c>
      <c r="C139">
        <v>56</v>
      </c>
      <c r="D139">
        <v>17</v>
      </c>
      <c r="E139">
        <v>49</v>
      </c>
      <c r="F139">
        <v>20.8</v>
      </c>
      <c r="G139">
        <v>26</v>
      </c>
      <c r="H139">
        <v>0</v>
      </c>
      <c r="K139">
        <f t="shared" si="12"/>
        <v>1.5601642951268146E-3</v>
      </c>
      <c r="L139">
        <f t="shared" si="13"/>
        <v>1.0015613819846236</v>
      </c>
      <c r="M139">
        <f t="shared" si="14"/>
        <v>0.49960995900533522</v>
      </c>
      <c r="N139">
        <f t="shared" si="15"/>
        <v>-0.69392756697155644</v>
      </c>
      <c r="O139">
        <f t="shared" si="16"/>
        <v>0.50039004099466478</v>
      </c>
      <c r="P139">
        <f t="shared" si="17"/>
        <v>0</v>
      </c>
    </row>
    <row r="140" spans="1:16">
      <c r="A140">
        <v>5</v>
      </c>
      <c r="B140">
        <v>108</v>
      </c>
      <c r="C140">
        <v>72</v>
      </c>
      <c r="D140">
        <v>43</v>
      </c>
      <c r="E140">
        <v>75</v>
      </c>
      <c r="F140">
        <v>36.1</v>
      </c>
      <c r="G140">
        <v>33</v>
      </c>
      <c r="H140">
        <v>0</v>
      </c>
      <c r="K140">
        <f t="shared" si="12"/>
        <v>0.33721750302384051</v>
      </c>
      <c r="L140">
        <f t="shared" si="13"/>
        <v>1.4010437618556897</v>
      </c>
      <c r="M140">
        <f t="shared" si="14"/>
        <v>0.41648553678469069</v>
      </c>
      <c r="N140">
        <f t="shared" si="15"/>
        <v>-0.87590354358517264</v>
      </c>
      <c r="O140">
        <f t="shared" si="16"/>
        <v>0.58351446321530931</v>
      </c>
      <c r="P140">
        <f t="shared" si="17"/>
        <v>0</v>
      </c>
    </row>
    <row r="141" spans="1:16">
      <c r="A141">
        <v>0</v>
      </c>
      <c r="B141">
        <v>78</v>
      </c>
      <c r="C141">
        <v>88</v>
      </c>
      <c r="D141">
        <v>29</v>
      </c>
      <c r="E141">
        <v>40</v>
      </c>
      <c r="F141">
        <v>36.9</v>
      </c>
      <c r="G141">
        <v>21</v>
      </c>
      <c r="H141">
        <v>0</v>
      </c>
      <c r="K141">
        <f t="shared" si="12"/>
        <v>-1.9601274474284669E-2</v>
      </c>
      <c r="L141">
        <f t="shared" si="13"/>
        <v>0.98058958146542663</v>
      </c>
      <c r="M141">
        <f t="shared" si="14"/>
        <v>0.50490016172866359</v>
      </c>
      <c r="N141">
        <f t="shared" si="15"/>
        <v>-0.68339456879910965</v>
      </c>
      <c r="O141">
        <f t="shared" si="16"/>
        <v>0.49509983827133641</v>
      </c>
      <c r="P141">
        <f t="shared" si="17"/>
        <v>0</v>
      </c>
    </row>
    <row r="142" spans="1:16">
      <c r="A142">
        <v>0</v>
      </c>
      <c r="B142">
        <v>107</v>
      </c>
      <c r="C142">
        <v>62</v>
      </c>
      <c r="D142">
        <v>30</v>
      </c>
      <c r="E142">
        <v>74</v>
      </c>
      <c r="F142">
        <v>36.6</v>
      </c>
      <c r="G142">
        <v>25</v>
      </c>
      <c r="H142">
        <v>1</v>
      </c>
      <c r="K142">
        <f t="shared" si="12"/>
        <v>0.2015730384761274</v>
      </c>
      <c r="L142">
        <f t="shared" si="13"/>
        <v>1.2233255836363377</v>
      </c>
      <c r="M142">
        <f t="shared" si="14"/>
        <v>0.55022331980525319</v>
      </c>
      <c r="N142">
        <f t="shared" si="15"/>
        <v>-0.59743104715638273</v>
      </c>
      <c r="O142">
        <f t="shared" si="16"/>
        <v>0.55022331980525319</v>
      </c>
      <c r="P142">
        <f t="shared" si="17"/>
        <v>0</v>
      </c>
    </row>
    <row r="143" spans="1:16">
      <c r="A143">
        <v>2</v>
      </c>
      <c r="B143">
        <v>128</v>
      </c>
      <c r="C143">
        <v>78</v>
      </c>
      <c r="D143">
        <v>37</v>
      </c>
      <c r="E143">
        <v>182</v>
      </c>
      <c r="F143">
        <v>43.3</v>
      </c>
      <c r="G143">
        <v>31</v>
      </c>
      <c r="H143">
        <v>1</v>
      </c>
      <c r="K143">
        <f t="shared" si="12"/>
        <v>0.46632765331376902</v>
      </c>
      <c r="L143">
        <f t="shared" si="13"/>
        <v>1.5941292355141998</v>
      </c>
      <c r="M143">
        <f t="shared" si="14"/>
        <v>0.61451419369945792</v>
      </c>
      <c r="N143">
        <f t="shared" si="15"/>
        <v>-0.48692325227785771</v>
      </c>
      <c r="O143">
        <f t="shared" si="16"/>
        <v>0.61451419369945792</v>
      </c>
      <c r="P143">
        <f t="shared" si="17"/>
        <v>1</v>
      </c>
    </row>
    <row r="144" spans="1:16">
      <c r="A144">
        <v>1</v>
      </c>
      <c r="B144">
        <v>128</v>
      </c>
      <c r="C144">
        <v>48</v>
      </c>
      <c r="D144">
        <v>45</v>
      </c>
      <c r="E144">
        <v>194</v>
      </c>
      <c r="F144">
        <v>40.5</v>
      </c>
      <c r="G144">
        <v>24</v>
      </c>
      <c r="H144">
        <v>1</v>
      </c>
      <c r="K144">
        <f t="shared" si="12"/>
        <v>0.40869140314261249</v>
      </c>
      <c r="L144">
        <f t="shared" si="13"/>
        <v>1.504847257688795</v>
      </c>
      <c r="M144">
        <f t="shared" si="14"/>
        <v>0.6007740604021129</v>
      </c>
      <c r="N144">
        <f t="shared" si="15"/>
        <v>-0.5095363545606334</v>
      </c>
      <c r="O144">
        <f t="shared" si="16"/>
        <v>0.6007740604021129</v>
      </c>
      <c r="P144">
        <f t="shared" si="17"/>
        <v>1</v>
      </c>
    </row>
    <row r="145" spans="1:16">
      <c r="A145">
        <v>6</v>
      </c>
      <c r="B145">
        <v>151</v>
      </c>
      <c r="C145">
        <v>62</v>
      </c>
      <c r="D145">
        <v>31</v>
      </c>
      <c r="E145">
        <v>120</v>
      </c>
      <c r="F145">
        <v>35.5</v>
      </c>
      <c r="G145">
        <v>28</v>
      </c>
      <c r="H145">
        <v>0</v>
      </c>
      <c r="K145">
        <f t="shared" si="12"/>
        <v>0.56611789994262818</v>
      </c>
      <c r="L145">
        <f t="shared" si="13"/>
        <v>1.7614157690981562</v>
      </c>
      <c r="M145">
        <f t="shared" si="14"/>
        <v>0.36213308086039775</v>
      </c>
      <c r="N145">
        <f t="shared" si="15"/>
        <v>-1.0157435080283177</v>
      </c>
      <c r="O145">
        <f t="shared" si="16"/>
        <v>0.63786691913960225</v>
      </c>
      <c r="P145">
        <f t="shared" si="17"/>
        <v>1</v>
      </c>
    </row>
    <row r="146" spans="1:16">
      <c r="A146">
        <v>2</v>
      </c>
      <c r="B146">
        <v>146</v>
      </c>
      <c r="C146">
        <v>70</v>
      </c>
      <c r="D146">
        <v>38</v>
      </c>
      <c r="E146">
        <v>360</v>
      </c>
      <c r="F146">
        <v>28</v>
      </c>
      <c r="G146">
        <v>29</v>
      </c>
      <c r="H146">
        <v>1</v>
      </c>
      <c r="K146">
        <f t="shared" si="12"/>
        <v>0.40397493078316227</v>
      </c>
      <c r="L146">
        <f t="shared" si="13"/>
        <v>1.4977663986568674</v>
      </c>
      <c r="M146">
        <f t="shared" si="14"/>
        <v>0.59964230420517572</v>
      </c>
      <c r="N146">
        <f t="shared" si="15"/>
        <v>-0.51142196119785799</v>
      </c>
      <c r="O146">
        <f t="shared" si="16"/>
        <v>0.59964230420517572</v>
      </c>
      <c r="P146">
        <f t="shared" si="17"/>
        <v>0</v>
      </c>
    </row>
    <row r="147" spans="1:16">
      <c r="A147">
        <v>0</v>
      </c>
      <c r="B147">
        <v>126</v>
      </c>
      <c r="C147">
        <v>84</v>
      </c>
      <c r="D147">
        <v>29</v>
      </c>
      <c r="E147">
        <v>215</v>
      </c>
      <c r="F147">
        <v>30.7</v>
      </c>
      <c r="G147">
        <v>24</v>
      </c>
      <c r="H147">
        <v>0</v>
      </c>
      <c r="K147">
        <f t="shared" si="12"/>
        <v>0.23478328850526387</v>
      </c>
      <c r="L147">
        <f t="shared" si="13"/>
        <v>1.264634678163276</v>
      </c>
      <c r="M147">
        <f t="shared" si="14"/>
        <v>0.44157232495046239</v>
      </c>
      <c r="N147">
        <f t="shared" si="15"/>
        <v>-0.81741345593222892</v>
      </c>
      <c r="O147">
        <f t="shared" si="16"/>
        <v>0.55842767504953761</v>
      </c>
      <c r="P147">
        <f t="shared" si="17"/>
        <v>0</v>
      </c>
    </row>
    <row r="148" spans="1:16">
      <c r="A148">
        <v>14</v>
      </c>
      <c r="B148">
        <v>100</v>
      </c>
      <c r="C148">
        <v>78</v>
      </c>
      <c r="D148">
        <v>25</v>
      </c>
      <c r="E148">
        <v>184</v>
      </c>
      <c r="F148">
        <v>36.6</v>
      </c>
      <c r="G148">
        <v>46</v>
      </c>
      <c r="H148">
        <v>1</v>
      </c>
      <c r="K148">
        <f t="shared" si="12"/>
        <v>0.42894104901237851</v>
      </c>
      <c r="L148">
        <f t="shared" si="13"/>
        <v>1.5356305047940915</v>
      </c>
      <c r="M148">
        <f t="shared" si="14"/>
        <v>0.60562077238410339</v>
      </c>
      <c r="N148">
        <f t="shared" si="15"/>
        <v>-0.50150127694499458</v>
      </c>
      <c r="O148">
        <f t="shared" si="16"/>
        <v>0.60562077238410339</v>
      </c>
      <c r="P148">
        <f t="shared" si="17"/>
        <v>1</v>
      </c>
    </row>
    <row r="149" spans="1:16">
      <c r="A149">
        <v>2</v>
      </c>
      <c r="B149">
        <v>144</v>
      </c>
      <c r="C149">
        <v>58</v>
      </c>
      <c r="D149">
        <v>33</v>
      </c>
      <c r="E149">
        <v>135</v>
      </c>
      <c r="F149">
        <v>31.6</v>
      </c>
      <c r="G149">
        <v>25</v>
      </c>
      <c r="H149">
        <v>1</v>
      </c>
      <c r="K149">
        <f t="shared" si="12"/>
        <v>0.41849826640119314</v>
      </c>
      <c r="L149">
        <f t="shared" si="13"/>
        <v>1.5196776901224596</v>
      </c>
      <c r="M149">
        <f t="shared" si="14"/>
        <v>0.60312384241835371</v>
      </c>
      <c r="N149">
        <f t="shared" si="15"/>
        <v>-0.5056327261970851</v>
      </c>
      <c r="O149">
        <f t="shared" si="16"/>
        <v>0.60312384241835371</v>
      </c>
      <c r="P149">
        <f t="shared" si="17"/>
        <v>1</v>
      </c>
    </row>
    <row r="150" spans="1:16">
      <c r="A150">
        <v>5</v>
      </c>
      <c r="B150">
        <v>77</v>
      </c>
      <c r="C150">
        <v>82</v>
      </c>
      <c r="D150">
        <v>41</v>
      </c>
      <c r="E150">
        <v>42</v>
      </c>
      <c r="F150">
        <v>35.799999999999997</v>
      </c>
      <c r="G150">
        <v>35</v>
      </c>
      <c r="H150">
        <v>0</v>
      </c>
      <c r="K150">
        <f t="shared" si="12"/>
        <v>0.13953759492892115</v>
      </c>
      <c r="L150">
        <f t="shared" si="13"/>
        <v>1.1497420293754343</v>
      </c>
      <c r="M150">
        <f t="shared" si="14"/>
        <v>0.46517209336532839</v>
      </c>
      <c r="N150">
        <f t="shared" si="15"/>
        <v>-0.7653478486036277</v>
      </c>
      <c r="O150">
        <f t="shared" si="16"/>
        <v>0.53482790663467161</v>
      </c>
      <c r="P150">
        <f t="shared" si="17"/>
        <v>0</v>
      </c>
    </row>
    <row r="151" spans="1:16">
      <c r="A151">
        <v>2</v>
      </c>
      <c r="B151">
        <v>120</v>
      </c>
      <c r="C151">
        <v>76</v>
      </c>
      <c r="D151">
        <v>37</v>
      </c>
      <c r="E151">
        <v>105</v>
      </c>
      <c r="F151">
        <v>39.700000000000003</v>
      </c>
      <c r="G151">
        <v>29</v>
      </c>
      <c r="H151">
        <v>0</v>
      </c>
      <c r="K151">
        <f t="shared" si="12"/>
        <v>0.37342498296458759</v>
      </c>
      <c r="L151">
        <f t="shared" si="13"/>
        <v>1.4527015820897806</v>
      </c>
      <c r="M151">
        <f t="shared" si="14"/>
        <v>0.40771368490249349</v>
      </c>
      <c r="N151">
        <f t="shared" si="15"/>
        <v>-0.89719010361161622</v>
      </c>
      <c r="O151">
        <f t="shared" si="16"/>
        <v>0.59228631509750651</v>
      </c>
      <c r="P151">
        <f t="shared" si="17"/>
        <v>0</v>
      </c>
    </row>
    <row r="152" spans="1:16">
      <c r="A152">
        <v>10</v>
      </c>
      <c r="B152">
        <v>161</v>
      </c>
      <c r="C152">
        <v>68</v>
      </c>
      <c r="D152">
        <v>23</v>
      </c>
      <c r="E152">
        <v>132</v>
      </c>
      <c r="F152">
        <v>25.5</v>
      </c>
      <c r="G152">
        <v>47</v>
      </c>
      <c r="H152">
        <v>1</v>
      </c>
      <c r="K152">
        <f t="shared" si="12"/>
        <v>0.67966594570047967</v>
      </c>
      <c r="L152">
        <f t="shared" si="13"/>
        <v>1.9732184600097593</v>
      </c>
      <c r="M152">
        <f t="shared" si="14"/>
        <v>0.66366413586820072</v>
      </c>
      <c r="N152">
        <f t="shared" si="15"/>
        <v>-0.40997907695113039</v>
      </c>
      <c r="O152">
        <f t="shared" si="16"/>
        <v>0.66366413586820072</v>
      </c>
      <c r="P152">
        <f t="shared" si="17"/>
        <v>1</v>
      </c>
    </row>
    <row r="153" spans="1:16">
      <c r="A153">
        <v>0</v>
      </c>
      <c r="B153">
        <v>137</v>
      </c>
      <c r="C153">
        <v>68</v>
      </c>
      <c r="D153">
        <v>14</v>
      </c>
      <c r="E153">
        <v>148</v>
      </c>
      <c r="F153">
        <v>24.8</v>
      </c>
      <c r="G153">
        <v>21</v>
      </c>
      <c r="H153">
        <v>0</v>
      </c>
      <c r="K153">
        <f t="shared" si="12"/>
        <v>0.20931469110824963</v>
      </c>
      <c r="L153">
        <f t="shared" si="13"/>
        <v>1.2328328990439192</v>
      </c>
      <c r="M153">
        <f t="shared" si="14"/>
        <v>0.44786154863097549</v>
      </c>
      <c r="N153">
        <f t="shared" si="15"/>
        <v>-0.8032711375652829</v>
      </c>
      <c r="O153">
        <f t="shared" si="16"/>
        <v>0.55213845136902451</v>
      </c>
      <c r="P153">
        <f t="shared" si="17"/>
        <v>0</v>
      </c>
    </row>
    <row r="154" spans="1:16">
      <c r="A154">
        <v>0</v>
      </c>
      <c r="B154">
        <v>128</v>
      </c>
      <c r="C154">
        <v>68</v>
      </c>
      <c r="D154">
        <v>19</v>
      </c>
      <c r="E154">
        <v>180</v>
      </c>
      <c r="F154">
        <v>30.5</v>
      </c>
      <c r="G154">
        <v>25</v>
      </c>
      <c r="H154">
        <v>1</v>
      </c>
      <c r="K154">
        <f t="shared" si="12"/>
        <v>0.24100380414875597</v>
      </c>
      <c r="L154">
        <f t="shared" si="13"/>
        <v>1.2725258761767502</v>
      </c>
      <c r="M154">
        <f t="shared" si="14"/>
        <v>0.55996100617240097</v>
      </c>
      <c r="N154">
        <f t="shared" si="15"/>
        <v>-0.57988812951234914</v>
      </c>
      <c r="O154">
        <f t="shared" si="16"/>
        <v>0.55996100617240097</v>
      </c>
      <c r="P154">
        <f t="shared" si="17"/>
        <v>0</v>
      </c>
    </row>
    <row r="155" spans="1:16">
      <c r="A155">
        <v>2</v>
      </c>
      <c r="B155">
        <v>124</v>
      </c>
      <c r="C155">
        <v>68</v>
      </c>
      <c r="D155">
        <v>28</v>
      </c>
      <c r="E155">
        <v>205</v>
      </c>
      <c r="F155">
        <v>32.9</v>
      </c>
      <c r="G155">
        <v>30</v>
      </c>
      <c r="H155">
        <v>1</v>
      </c>
      <c r="K155">
        <f t="shared" si="12"/>
        <v>0.31139722783250723</v>
      </c>
      <c r="L155">
        <f t="shared" si="13"/>
        <v>1.365331461139593</v>
      </c>
      <c r="M155">
        <f t="shared" si="14"/>
        <v>0.57722627190769704</v>
      </c>
      <c r="N155">
        <f t="shared" si="15"/>
        <v>-0.54952093699264737</v>
      </c>
      <c r="O155">
        <f t="shared" si="16"/>
        <v>0.57722627190769704</v>
      </c>
      <c r="P155">
        <f t="shared" si="17"/>
        <v>0</v>
      </c>
    </row>
    <row r="156" spans="1:16">
      <c r="A156">
        <v>0</v>
      </c>
      <c r="B156">
        <v>106</v>
      </c>
      <c r="C156">
        <v>70</v>
      </c>
      <c r="D156">
        <v>37</v>
      </c>
      <c r="E156">
        <v>148</v>
      </c>
      <c r="F156">
        <v>39.4</v>
      </c>
      <c r="G156">
        <v>22</v>
      </c>
      <c r="H156">
        <v>0</v>
      </c>
      <c r="K156">
        <f t="shared" si="12"/>
        <v>0.20814979752647939</v>
      </c>
      <c r="L156">
        <f t="shared" si="13"/>
        <v>1.231397616050705</v>
      </c>
      <c r="M156">
        <f t="shared" si="14"/>
        <v>0.4481496228224332</v>
      </c>
      <c r="N156">
        <f t="shared" si="15"/>
        <v>-0.80262812281153562</v>
      </c>
      <c r="O156">
        <f t="shared" si="16"/>
        <v>0.5518503771775668</v>
      </c>
      <c r="P156">
        <f t="shared" si="17"/>
        <v>0</v>
      </c>
    </row>
    <row r="157" spans="1:16">
      <c r="A157">
        <v>2</v>
      </c>
      <c r="B157">
        <v>155</v>
      </c>
      <c r="C157">
        <v>74</v>
      </c>
      <c r="D157">
        <v>17</v>
      </c>
      <c r="E157">
        <v>96</v>
      </c>
      <c r="F157">
        <v>26.6</v>
      </c>
      <c r="G157">
        <v>27</v>
      </c>
      <c r="H157">
        <v>1</v>
      </c>
      <c r="K157">
        <f t="shared" si="12"/>
        <v>0.41670046046816311</v>
      </c>
      <c r="L157">
        <f t="shared" si="13"/>
        <v>1.5169480589636148</v>
      </c>
      <c r="M157">
        <f t="shared" si="14"/>
        <v>0.60269343006952536</v>
      </c>
      <c r="N157">
        <f t="shared" si="15"/>
        <v>-0.50634661938294079</v>
      </c>
      <c r="O157">
        <f t="shared" si="16"/>
        <v>0.60269343006952536</v>
      </c>
      <c r="P157">
        <f t="shared" si="17"/>
        <v>1</v>
      </c>
    </row>
    <row r="158" spans="1:16">
      <c r="A158">
        <v>3</v>
      </c>
      <c r="B158">
        <v>113</v>
      </c>
      <c r="C158">
        <v>50</v>
      </c>
      <c r="D158">
        <v>10</v>
      </c>
      <c r="E158">
        <v>85</v>
      </c>
      <c r="F158">
        <v>29.5</v>
      </c>
      <c r="G158">
        <v>25</v>
      </c>
      <c r="H158">
        <v>0</v>
      </c>
      <c r="K158">
        <f t="shared" si="12"/>
        <v>0.16616621508272739</v>
      </c>
      <c r="L158">
        <f t="shared" si="13"/>
        <v>1.1807693470880627</v>
      </c>
      <c r="M158">
        <f t="shared" si="14"/>
        <v>0.458553767428582</v>
      </c>
      <c r="N158">
        <f t="shared" si="15"/>
        <v>-0.77967772605066421</v>
      </c>
      <c r="O158">
        <f t="shared" si="16"/>
        <v>0.541446232571418</v>
      </c>
      <c r="P158">
        <f t="shared" si="17"/>
        <v>0</v>
      </c>
    </row>
    <row r="159" spans="1:16">
      <c r="A159">
        <v>2</v>
      </c>
      <c r="B159">
        <v>112</v>
      </c>
      <c r="C159">
        <v>68</v>
      </c>
      <c r="D159">
        <v>22</v>
      </c>
      <c r="E159">
        <v>94</v>
      </c>
      <c r="F159">
        <v>34.1</v>
      </c>
      <c r="G159">
        <v>26</v>
      </c>
      <c r="H159">
        <v>0</v>
      </c>
      <c r="K159">
        <f t="shared" si="12"/>
        <v>0.21793551306853615</v>
      </c>
      <c r="L159">
        <f t="shared" si="13"/>
        <v>1.2435068750907758</v>
      </c>
      <c r="M159">
        <f t="shared" si="14"/>
        <v>0.44573074907984778</v>
      </c>
      <c r="N159">
        <f t="shared" si="15"/>
        <v>-0.80804021087795785</v>
      </c>
      <c r="O159">
        <f t="shared" si="16"/>
        <v>0.55426925092015222</v>
      </c>
      <c r="P159">
        <f t="shared" si="17"/>
        <v>0</v>
      </c>
    </row>
    <row r="160" spans="1:16">
      <c r="A160">
        <v>3</v>
      </c>
      <c r="B160">
        <v>99</v>
      </c>
      <c r="C160">
        <v>80</v>
      </c>
      <c r="D160">
        <v>11</v>
      </c>
      <c r="E160">
        <v>64</v>
      </c>
      <c r="F160">
        <v>19.3</v>
      </c>
      <c r="G160">
        <v>30</v>
      </c>
      <c r="H160">
        <v>0</v>
      </c>
      <c r="K160">
        <f t="shared" si="12"/>
        <v>-3.7602552649517729E-3</v>
      </c>
      <c r="L160">
        <f t="shared" si="13"/>
        <v>0.99624680564183377</v>
      </c>
      <c r="M160">
        <f t="shared" si="14"/>
        <v>0.50094006270856872</v>
      </c>
      <c r="N160">
        <f t="shared" si="15"/>
        <v>-0.69126882036638515</v>
      </c>
      <c r="O160">
        <f t="shared" si="16"/>
        <v>0.49905993729143133</v>
      </c>
      <c r="P160">
        <f t="shared" si="17"/>
        <v>0</v>
      </c>
    </row>
    <row r="161" spans="1:16">
      <c r="A161">
        <v>3</v>
      </c>
      <c r="B161">
        <v>115</v>
      </c>
      <c r="C161">
        <v>66</v>
      </c>
      <c r="D161">
        <v>39</v>
      </c>
      <c r="E161">
        <v>140</v>
      </c>
      <c r="F161">
        <v>38.1</v>
      </c>
      <c r="G161">
        <v>28</v>
      </c>
      <c r="H161">
        <v>0</v>
      </c>
      <c r="K161">
        <f t="shared" si="12"/>
        <v>0.33464109479331294</v>
      </c>
      <c r="L161">
        <f t="shared" si="13"/>
        <v>1.3974387471652128</v>
      </c>
      <c r="M161">
        <f t="shared" si="14"/>
        <v>0.41711180366231382</v>
      </c>
      <c r="N161">
        <f t="shared" si="15"/>
        <v>-0.87440097882143619</v>
      </c>
      <c r="O161">
        <f t="shared" si="16"/>
        <v>0.58288819633768618</v>
      </c>
      <c r="P161">
        <f t="shared" si="17"/>
        <v>0</v>
      </c>
    </row>
    <row r="162" spans="1:16">
      <c r="A162">
        <v>4</v>
      </c>
      <c r="B162">
        <v>129</v>
      </c>
      <c r="C162">
        <v>60</v>
      </c>
      <c r="D162">
        <v>12</v>
      </c>
      <c r="E162">
        <v>231</v>
      </c>
      <c r="F162">
        <v>27.5</v>
      </c>
      <c r="G162">
        <v>31</v>
      </c>
      <c r="H162">
        <v>0</v>
      </c>
      <c r="K162">
        <f t="shared" si="12"/>
        <v>0.28650879957106645</v>
      </c>
      <c r="L162">
        <f t="shared" si="13"/>
        <v>1.3317698868464118</v>
      </c>
      <c r="M162">
        <f t="shared" si="14"/>
        <v>0.42885878475446138</v>
      </c>
      <c r="N162">
        <f t="shared" si="15"/>
        <v>-0.84662758730998966</v>
      </c>
      <c r="O162">
        <f t="shared" si="16"/>
        <v>0.57114121524553862</v>
      </c>
      <c r="P162">
        <f t="shared" si="17"/>
        <v>0</v>
      </c>
    </row>
    <row r="163" spans="1:16">
      <c r="A163">
        <v>13</v>
      </c>
      <c r="B163">
        <v>152</v>
      </c>
      <c r="C163">
        <v>90</v>
      </c>
      <c r="D163">
        <v>33</v>
      </c>
      <c r="E163">
        <v>29</v>
      </c>
      <c r="F163">
        <v>26.8</v>
      </c>
      <c r="G163">
        <v>43</v>
      </c>
      <c r="H163">
        <v>1</v>
      </c>
      <c r="K163">
        <f t="shared" si="12"/>
        <v>0.66674388276213747</v>
      </c>
      <c r="L163">
        <f t="shared" si="13"/>
        <v>1.9478844432790032</v>
      </c>
      <c r="M163">
        <f t="shared" si="14"/>
        <v>0.66077367710937962</v>
      </c>
      <c r="N163">
        <f t="shared" si="15"/>
        <v>-0.41434389245169884</v>
      </c>
      <c r="O163">
        <f t="shared" si="16"/>
        <v>0.66077367710937962</v>
      </c>
      <c r="P163">
        <f t="shared" si="17"/>
        <v>1</v>
      </c>
    </row>
    <row r="164" spans="1:16">
      <c r="A164">
        <v>1</v>
      </c>
      <c r="B164">
        <v>157</v>
      </c>
      <c r="C164">
        <v>72</v>
      </c>
      <c r="D164">
        <v>21</v>
      </c>
      <c r="E164">
        <v>168</v>
      </c>
      <c r="F164">
        <v>25.6</v>
      </c>
      <c r="G164">
        <v>24</v>
      </c>
      <c r="H164">
        <v>0</v>
      </c>
      <c r="K164">
        <f t="shared" si="12"/>
        <v>0.3904726889096376</v>
      </c>
      <c r="L164">
        <f t="shared" si="13"/>
        <v>1.4776791113541183</v>
      </c>
      <c r="M164">
        <f t="shared" si="14"/>
        <v>0.4036035156519816</v>
      </c>
      <c r="N164">
        <f t="shared" si="15"/>
        <v>-0.90732227980726754</v>
      </c>
      <c r="O164">
        <f t="shared" si="16"/>
        <v>0.5963964843480184</v>
      </c>
      <c r="P164">
        <f t="shared" si="17"/>
        <v>0</v>
      </c>
    </row>
    <row r="165" spans="1:16">
      <c r="A165">
        <v>1</v>
      </c>
      <c r="B165">
        <v>122</v>
      </c>
      <c r="C165">
        <v>64</v>
      </c>
      <c r="D165">
        <v>32</v>
      </c>
      <c r="E165">
        <v>156</v>
      </c>
      <c r="F165">
        <v>35.1</v>
      </c>
      <c r="G165">
        <v>30</v>
      </c>
      <c r="H165">
        <v>1</v>
      </c>
      <c r="K165">
        <f t="shared" si="12"/>
        <v>0.32362951654027172</v>
      </c>
      <c r="L165">
        <f t="shared" si="13"/>
        <v>1.3821351540395346</v>
      </c>
      <c r="M165">
        <f t="shared" si="14"/>
        <v>0.58020853757846691</v>
      </c>
      <c r="N165">
        <f t="shared" si="15"/>
        <v>-0.54436769251432193</v>
      </c>
      <c r="O165">
        <f t="shared" si="16"/>
        <v>0.58020853757846691</v>
      </c>
      <c r="P165">
        <f t="shared" si="17"/>
        <v>0</v>
      </c>
    </row>
    <row r="166" spans="1:16">
      <c r="A166">
        <v>2</v>
      </c>
      <c r="B166">
        <v>102</v>
      </c>
      <c r="C166">
        <v>86</v>
      </c>
      <c r="D166">
        <v>36</v>
      </c>
      <c r="E166">
        <v>120</v>
      </c>
      <c r="F166">
        <v>45.5</v>
      </c>
      <c r="G166">
        <v>23</v>
      </c>
      <c r="H166">
        <v>1</v>
      </c>
      <c r="K166">
        <f t="shared" si="12"/>
        <v>0.26816491542786286</v>
      </c>
      <c r="L166">
        <f t="shared" si="13"/>
        <v>1.3075627595068986</v>
      </c>
      <c r="M166">
        <f t="shared" si="14"/>
        <v>0.56664233903060157</v>
      </c>
      <c r="N166">
        <f t="shared" si="15"/>
        <v>-0.56802696964997412</v>
      </c>
      <c r="O166">
        <f t="shared" si="16"/>
        <v>0.56664233903060157</v>
      </c>
      <c r="P166">
        <f t="shared" si="17"/>
        <v>0</v>
      </c>
    </row>
    <row r="167" spans="1:16">
      <c r="A167">
        <v>6</v>
      </c>
      <c r="B167">
        <v>105</v>
      </c>
      <c r="C167">
        <v>70</v>
      </c>
      <c r="D167">
        <v>32</v>
      </c>
      <c r="E167">
        <v>68</v>
      </c>
      <c r="F167">
        <v>30.8</v>
      </c>
      <c r="G167">
        <v>37</v>
      </c>
      <c r="H167">
        <v>0</v>
      </c>
      <c r="K167">
        <f t="shared" si="12"/>
        <v>0.27996437754936221</v>
      </c>
      <c r="L167">
        <f t="shared" si="13"/>
        <v>1.3230826800504982</v>
      </c>
      <c r="M167">
        <f t="shared" si="14"/>
        <v>0.43046250940076847</v>
      </c>
      <c r="N167">
        <f t="shared" si="15"/>
        <v>-0.84289504508364954</v>
      </c>
      <c r="O167">
        <f t="shared" si="16"/>
        <v>0.56953749059923153</v>
      </c>
      <c r="P167">
        <f t="shared" si="17"/>
        <v>0</v>
      </c>
    </row>
    <row r="168" spans="1:16">
      <c r="A168">
        <v>2</v>
      </c>
      <c r="B168">
        <v>87</v>
      </c>
      <c r="C168">
        <v>58</v>
      </c>
      <c r="D168">
        <v>16</v>
      </c>
      <c r="E168">
        <v>52</v>
      </c>
      <c r="F168">
        <v>32.700000000000003</v>
      </c>
      <c r="G168">
        <v>25</v>
      </c>
      <c r="H168">
        <v>0</v>
      </c>
      <c r="K168">
        <f t="shared" si="12"/>
        <v>2.9449561959557002E-2</v>
      </c>
      <c r="L168">
        <f t="shared" si="13"/>
        <v>1.0298874886550504</v>
      </c>
      <c r="M168">
        <f t="shared" si="14"/>
        <v>0.49263814156644381</v>
      </c>
      <c r="N168">
        <f t="shared" si="15"/>
        <v>-0.70798036720985547</v>
      </c>
      <c r="O168">
        <f t="shared" si="16"/>
        <v>0.50736185843355619</v>
      </c>
      <c r="P168">
        <f t="shared" si="17"/>
        <v>0</v>
      </c>
    </row>
    <row r="169" spans="1:16">
      <c r="A169">
        <v>1</v>
      </c>
      <c r="B169">
        <v>95</v>
      </c>
      <c r="C169">
        <v>60</v>
      </c>
      <c r="D169">
        <v>18</v>
      </c>
      <c r="E169">
        <v>58</v>
      </c>
      <c r="F169">
        <v>23.9</v>
      </c>
      <c r="G169">
        <v>22</v>
      </c>
      <c r="H169">
        <v>0</v>
      </c>
      <c r="K169">
        <f t="shared" si="12"/>
        <v>-3.5379805956463922E-2</v>
      </c>
      <c r="L169">
        <f t="shared" si="13"/>
        <v>0.96523874320559044</v>
      </c>
      <c r="M169">
        <f t="shared" si="14"/>
        <v>0.50884402897983505</v>
      </c>
      <c r="N169">
        <f t="shared" si="15"/>
        <v>-0.67561373575551265</v>
      </c>
      <c r="O169">
        <f t="shared" si="16"/>
        <v>0.49115597102016501</v>
      </c>
      <c r="P169">
        <f t="shared" si="17"/>
        <v>0</v>
      </c>
    </row>
    <row r="170" spans="1:16">
      <c r="A170">
        <v>0</v>
      </c>
      <c r="B170">
        <v>165</v>
      </c>
      <c r="C170">
        <v>76</v>
      </c>
      <c r="D170">
        <v>43</v>
      </c>
      <c r="E170">
        <v>255</v>
      </c>
      <c r="F170">
        <v>47.9</v>
      </c>
      <c r="G170">
        <v>26</v>
      </c>
      <c r="H170">
        <v>0</v>
      </c>
      <c r="K170">
        <f t="shared" si="12"/>
        <v>0.70486094856811976</v>
      </c>
      <c r="L170">
        <f t="shared" si="13"/>
        <v>2.0235652857078383</v>
      </c>
      <c r="M170">
        <f t="shared" si="14"/>
        <v>0.33073537546118925</v>
      </c>
      <c r="N170">
        <f t="shared" si="15"/>
        <v>-1.1064366932573417</v>
      </c>
      <c r="O170">
        <f t="shared" si="16"/>
        <v>0.66926462453881075</v>
      </c>
      <c r="P170">
        <f t="shared" si="17"/>
        <v>1</v>
      </c>
    </row>
    <row r="171" spans="1:16">
      <c r="A171">
        <v>9</v>
      </c>
      <c r="B171">
        <v>152</v>
      </c>
      <c r="C171">
        <v>78</v>
      </c>
      <c r="D171">
        <v>34</v>
      </c>
      <c r="E171">
        <v>171</v>
      </c>
      <c r="F171">
        <v>34.200000000000003</v>
      </c>
      <c r="G171">
        <v>33</v>
      </c>
      <c r="H171">
        <v>1</v>
      </c>
      <c r="K171">
        <f t="shared" si="12"/>
        <v>0.62214456328711665</v>
      </c>
      <c r="L171">
        <f t="shared" si="13"/>
        <v>1.8629189084817623</v>
      </c>
      <c r="M171">
        <f t="shared" si="14"/>
        <v>0.65070613874623817</v>
      </c>
      <c r="N171">
        <f t="shared" si="15"/>
        <v>-0.42969713846047991</v>
      </c>
      <c r="O171">
        <f t="shared" si="16"/>
        <v>0.65070613874623817</v>
      </c>
      <c r="P171">
        <f t="shared" si="17"/>
        <v>1</v>
      </c>
    </row>
    <row r="172" spans="1:16">
      <c r="A172">
        <v>1</v>
      </c>
      <c r="B172">
        <v>130</v>
      </c>
      <c r="C172">
        <v>70</v>
      </c>
      <c r="D172">
        <v>13</v>
      </c>
      <c r="E172">
        <v>105</v>
      </c>
      <c r="F172">
        <v>25.9</v>
      </c>
      <c r="G172">
        <v>22</v>
      </c>
      <c r="H172">
        <v>0</v>
      </c>
      <c r="K172">
        <f t="shared" si="12"/>
        <v>0.19440411749674189</v>
      </c>
      <c r="L172">
        <f t="shared" si="13"/>
        <v>1.2145870196578701</v>
      </c>
      <c r="M172">
        <f t="shared" si="14"/>
        <v>0.45155145908625849</v>
      </c>
      <c r="N172">
        <f t="shared" si="15"/>
        <v>-0.79506593900662015</v>
      </c>
      <c r="O172">
        <f t="shared" si="16"/>
        <v>0.54844854091374151</v>
      </c>
      <c r="P172">
        <f t="shared" si="17"/>
        <v>0</v>
      </c>
    </row>
    <row r="173" spans="1:16">
      <c r="A173">
        <v>1</v>
      </c>
      <c r="B173">
        <v>95</v>
      </c>
      <c r="C173">
        <v>74</v>
      </c>
      <c r="D173">
        <v>21</v>
      </c>
      <c r="E173">
        <v>73</v>
      </c>
      <c r="F173">
        <v>25.9</v>
      </c>
      <c r="G173">
        <v>36</v>
      </c>
      <c r="H173">
        <v>0</v>
      </c>
      <c r="K173">
        <f t="shared" si="12"/>
        <v>7.4047655694853942E-2</v>
      </c>
      <c r="L173">
        <f t="shared" si="13"/>
        <v>1.0768581226955281</v>
      </c>
      <c r="M173">
        <f t="shared" si="14"/>
        <v>0.48149653992835706</v>
      </c>
      <c r="N173">
        <f t="shared" si="15"/>
        <v>-0.73085623379603382</v>
      </c>
      <c r="O173">
        <f t="shared" si="16"/>
        <v>0.51850346007164294</v>
      </c>
      <c r="P173">
        <f t="shared" si="17"/>
        <v>0</v>
      </c>
    </row>
    <row r="174" spans="1:16">
      <c r="A174">
        <v>8</v>
      </c>
      <c r="B174">
        <v>126</v>
      </c>
      <c r="C174">
        <v>88</v>
      </c>
      <c r="D174">
        <v>36</v>
      </c>
      <c r="E174">
        <v>108</v>
      </c>
      <c r="F174">
        <v>38.5</v>
      </c>
      <c r="G174">
        <v>49</v>
      </c>
      <c r="H174">
        <v>0</v>
      </c>
      <c r="K174">
        <f t="shared" si="12"/>
        <v>0.5931281524737122</v>
      </c>
      <c r="L174">
        <f t="shared" si="13"/>
        <v>1.8096404017506951</v>
      </c>
      <c r="M174">
        <f t="shared" si="14"/>
        <v>0.35591743319782021</v>
      </c>
      <c r="N174">
        <f t="shared" si="15"/>
        <v>-1.0330565042494535</v>
      </c>
      <c r="O174">
        <f t="shared" si="16"/>
        <v>0.64408256680217979</v>
      </c>
      <c r="P174">
        <f t="shared" si="17"/>
        <v>1</v>
      </c>
    </row>
    <row r="175" spans="1:16">
      <c r="A175">
        <v>1</v>
      </c>
      <c r="B175">
        <v>139</v>
      </c>
      <c r="C175">
        <v>46</v>
      </c>
      <c r="D175">
        <v>19</v>
      </c>
      <c r="E175">
        <v>83</v>
      </c>
      <c r="F175">
        <v>28.7</v>
      </c>
      <c r="G175">
        <v>22</v>
      </c>
      <c r="H175">
        <v>0</v>
      </c>
      <c r="K175">
        <f t="shared" si="12"/>
        <v>0.30583874776240888</v>
      </c>
      <c r="L175">
        <f t="shared" si="13"/>
        <v>1.3577633465167245</v>
      </c>
      <c r="M175">
        <f t="shared" si="14"/>
        <v>0.42413077694051204</v>
      </c>
      <c r="N175">
        <f t="shared" si="15"/>
        <v>-0.85771343512638654</v>
      </c>
      <c r="O175">
        <f t="shared" si="16"/>
        <v>0.57586922305948796</v>
      </c>
      <c r="P175">
        <f t="shared" si="17"/>
        <v>0</v>
      </c>
    </row>
    <row r="176" spans="1:16">
      <c r="A176">
        <v>3</v>
      </c>
      <c r="B176">
        <v>99</v>
      </c>
      <c r="C176">
        <v>62</v>
      </c>
      <c r="D176">
        <v>19</v>
      </c>
      <c r="E176">
        <v>74</v>
      </c>
      <c r="F176">
        <v>21.8</v>
      </c>
      <c r="G176">
        <v>26</v>
      </c>
      <c r="H176">
        <v>0</v>
      </c>
      <c r="K176">
        <f t="shared" si="12"/>
        <v>1.87230967666836E-2</v>
      </c>
      <c r="L176">
        <f t="shared" si="13"/>
        <v>1.0188994729930434</v>
      </c>
      <c r="M176">
        <f t="shared" si="14"/>
        <v>0.49531936254234965</v>
      </c>
      <c r="N176">
        <f t="shared" si="15"/>
        <v>-0.70255254759732544</v>
      </c>
      <c r="O176">
        <f t="shared" si="16"/>
        <v>0.50468063745765035</v>
      </c>
      <c r="P176">
        <f t="shared" si="17"/>
        <v>0</v>
      </c>
    </row>
    <row r="177" spans="1:16">
      <c r="A177">
        <v>1</v>
      </c>
      <c r="B177">
        <v>90</v>
      </c>
      <c r="C177">
        <v>62</v>
      </c>
      <c r="D177">
        <v>12</v>
      </c>
      <c r="E177">
        <v>43</v>
      </c>
      <c r="F177">
        <v>27.2</v>
      </c>
      <c r="G177">
        <v>24</v>
      </c>
      <c r="H177">
        <v>0</v>
      </c>
      <c r="K177">
        <f t="shared" si="12"/>
        <v>-3.3844685081707682E-2</v>
      </c>
      <c r="L177">
        <f t="shared" si="13"/>
        <v>0.96672163927054544</v>
      </c>
      <c r="M177">
        <f t="shared" si="14"/>
        <v>0.50846036369991787</v>
      </c>
      <c r="N177">
        <f t="shared" si="15"/>
        <v>-0.67636801402437297</v>
      </c>
      <c r="O177">
        <f t="shared" si="16"/>
        <v>0.49153963630008218</v>
      </c>
      <c r="P177">
        <f t="shared" si="17"/>
        <v>0</v>
      </c>
    </row>
    <row r="178" spans="1:16">
      <c r="A178">
        <v>1</v>
      </c>
      <c r="B178">
        <v>125</v>
      </c>
      <c r="C178">
        <v>50</v>
      </c>
      <c r="D178">
        <v>40</v>
      </c>
      <c r="E178">
        <v>167</v>
      </c>
      <c r="F178">
        <v>33.299999999999997</v>
      </c>
      <c r="G178">
        <v>28</v>
      </c>
      <c r="H178">
        <v>1</v>
      </c>
      <c r="K178">
        <f t="shared" si="12"/>
        <v>0.33350236418324219</v>
      </c>
      <c r="L178">
        <f t="shared" si="13"/>
        <v>1.3958483465788887</v>
      </c>
      <c r="M178">
        <f t="shared" si="14"/>
        <v>0.58261131117587928</v>
      </c>
      <c r="N178">
        <f t="shared" si="15"/>
        <v>-0.54023501965062792</v>
      </c>
      <c r="O178">
        <f t="shared" si="16"/>
        <v>0.58261131117587928</v>
      </c>
      <c r="P178">
        <f t="shared" si="17"/>
        <v>0</v>
      </c>
    </row>
    <row r="179" spans="1:16">
      <c r="A179">
        <v>12</v>
      </c>
      <c r="B179">
        <v>88</v>
      </c>
      <c r="C179">
        <v>74</v>
      </c>
      <c r="D179">
        <v>40</v>
      </c>
      <c r="E179">
        <v>54</v>
      </c>
      <c r="F179">
        <v>35.299999999999997</v>
      </c>
      <c r="G179">
        <v>48</v>
      </c>
      <c r="H179">
        <v>0</v>
      </c>
      <c r="K179">
        <f t="shared" si="12"/>
        <v>0.37285647432149743</v>
      </c>
      <c r="L179">
        <f t="shared" si="13"/>
        <v>1.4518759433981354</v>
      </c>
      <c r="M179">
        <f t="shared" si="14"/>
        <v>0.40785097740877829</v>
      </c>
      <c r="N179">
        <f t="shared" si="15"/>
        <v>-0.89685342274760571</v>
      </c>
      <c r="O179">
        <f t="shared" si="16"/>
        <v>0.59214902259122171</v>
      </c>
      <c r="P179">
        <f t="shared" si="17"/>
        <v>0</v>
      </c>
    </row>
    <row r="180" spans="1:16">
      <c r="A180">
        <v>1</v>
      </c>
      <c r="B180">
        <v>196</v>
      </c>
      <c r="C180">
        <v>76</v>
      </c>
      <c r="D180">
        <v>36</v>
      </c>
      <c r="E180">
        <v>249</v>
      </c>
      <c r="F180">
        <v>36.5</v>
      </c>
      <c r="G180">
        <v>29</v>
      </c>
      <c r="H180">
        <v>1</v>
      </c>
      <c r="K180">
        <f t="shared" si="12"/>
        <v>0.80947447589082111</v>
      </c>
      <c r="L180">
        <f t="shared" si="13"/>
        <v>2.246726967188545</v>
      </c>
      <c r="M180">
        <f t="shared" si="14"/>
        <v>0.69199750699519547</v>
      </c>
      <c r="N180">
        <f t="shared" si="15"/>
        <v>-0.36817292597905593</v>
      </c>
      <c r="O180">
        <f t="shared" si="16"/>
        <v>0.69199750699519547</v>
      </c>
      <c r="P180">
        <f t="shared" si="17"/>
        <v>1</v>
      </c>
    </row>
    <row r="181" spans="1:16">
      <c r="A181">
        <v>5</v>
      </c>
      <c r="B181">
        <v>189</v>
      </c>
      <c r="C181">
        <v>64</v>
      </c>
      <c r="D181">
        <v>33</v>
      </c>
      <c r="E181">
        <v>325</v>
      </c>
      <c r="F181">
        <v>31.2</v>
      </c>
      <c r="G181">
        <v>29</v>
      </c>
      <c r="H181">
        <v>1</v>
      </c>
      <c r="K181">
        <f t="shared" si="12"/>
        <v>0.7483952958922947</v>
      </c>
      <c r="L181">
        <f t="shared" si="13"/>
        <v>2.113605582249797</v>
      </c>
      <c r="M181">
        <f t="shared" si="14"/>
        <v>0.67882894169356212</v>
      </c>
      <c r="N181">
        <f t="shared" si="15"/>
        <v>-0.38738610997593648</v>
      </c>
      <c r="O181">
        <f t="shared" si="16"/>
        <v>0.67882894169356212</v>
      </c>
      <c r="P181">
        <f t="shared" si="17"/>
        <v>1</v>
      </c>
    </row>
    <row r="182" spans="1:16">
      <c r="A182">
        <v>4</v>
      </c>
      <c r="B182">
        <v>147</v>
      </c>
      <c r="C182">
        <v>74</v>
      </c>
      <c r="D182">
        <v>25</v>
      </c>
      <c r="E182">
        <v>293</v>
      </c>
      <c r="F182">
        <v>34.9</v>
      </c>
      <c r="G182">
        <v>30</v>
      </c>
      <c r="H182">
        <v>0</v>
      </c>
      <c r="K182">
        <f t="shared" si="12"/>
        <v>0.48810608792780596</v>
      </c>
      <c r="L182">
        <f t="shared" si="13"/>
        <v>1.6292276821934342</v>
      </c>
      <c r="M182">
        <f t="shared" si="14"/>
        <v>0.38033982631954866</v>
      </c>
      <c r="N182">
        <f t="shared" si="15"/>
        <v>-0.96669014610335324</v>
      </c>
      <c r="O182">
        <f t="shared" si="16"/>
        <v>0.61966017368045134</v>
      </c>
      <c r="P182">
        <f t="shared" si="17"/>
        <v>1</v>
      </c>
    </row>
    <row r="183" spans="1:16">
      <c r="A183">
        <v>5</v>
      </c>
      <c r="B183">
        <v>99</v>
      </c>
      <c r="C183">
        <v>54</v>
      </c>
      <c r="D183">
        <v>28</v>
      </c>
      <c r="E183">
        <v>83</v>
      </c>
      <c r="F183">
        <v>34</v>
      </c>
      <c r="G183">
        <v>30</v>
      </c>
      <c r="H183">
        <v>0</v>
      </c>
      <c r="K183">
        <f t="shared" si="12"/>
        <v>0.21252330890028726</v>
      </c>
      <c r="L183">
        <f t="shared" si="13"/>
        <v>1.2367949415592776</v>
      </c>
      <c r="M183">
        <f t="shared" si="14"/>
        <v>0.44706824994109495</v>
      </c>
      <c r="N183">
        <f t="shared" si="15"/>
        <v>-0.80504401159166994</v>
      </c>
      <c r="O183">
        <f t="shared" si="16"/>
        <v>0.55293175005890505</v>
      </c>
      <c r="P183">
        <f t="shared" si="17"/>
        <v>0</v>
      </c>
    </row>
    <row r="184" spans="1:16">
      <c r="A184">
        <v>3</v>
      </c>
      <c r="B184">
        <v>81</v>
      </c>
      <c r="C184">
        <v>86</v>
      </c>
      <c r="D184">
        <v>16</v>
      </c>
      <c r="E184">
        <v>66</v>
      </c>
      <c r="F184">
        <v>27.5</v>
      </c>
      <c r="G184">
        <v>22</v>
      </c>
      <c r="H184">
        <v>0</v>
      </c>
      <c r="K184">
        <f t="shared" si="12"/>
        <v>-8.2095011840660703E-2</v>
      </c>
      <c r="L184">
        <f t="shared" si="13"/>
        <v>0.92118443110994819</v>
      </c>
      <c r="M184">
        <f t="shared" si="14"/>
        <v>0.52051223391512624</v>
      </c>
      <c r="N184">
        <f t="shared" si="15"/>
        <v>-0.65294188704362732</v>
      </c>
      <c r="O184">
        <f t="shared" si="16"/>
        <v>0.47948776608487381</v>
      </c>
      <c r="P184">
        <f t="shared" si="17"/>
        <v>0</v>
      </c>
    </row>
    <row r="185" spans="1:16">
      <c r="A185">
        <v>1</v>
      </c>
      <c r="B185">
        <v>133</v>
      </c>
      <c r="C185">
        <v>102</v>
      </c>
      <c r="D185">
        <v>28</v>
      </c>
      <c r="E185">
        <v>140</v>
      </c>
      <c r="F185">
        <v>32.799999999999997</v>
      </c>
      <c r="G185">
        <v>45</v>
      </c>
      <c r="H185">
        <v>1</v>
      </c>
      <c r="K185">
        <f t="shared" si="12"/>
        <v>0.44693360358974699</v>
      </c>
      <c r="L185">
        <f t="shared" si="13"/>
        <v>1.5635104843564327</v>
      </c>
      <c r="M185">
        <f t="shared" si="14"/>
        <v>0.60990992387103526</v>
      </c>
      <c r="N185">
        <f t="shared" si="15"/>
        <v>-0.49444399850363369</v>
      </c>
      <c r="O185">
        <f t="shared" si="16"/>
        <v>0.60990992387103526</v>
      </c>
      <c r="P185">
        <f t="shared" si="17"/>
        <v>1</v>
      </c>
    </row>
    <row r="186" spans="1:16">
      <c r="A186">
        <v>3</v>
      </c>
      <c r="B186">
        <v>173</v>
      </c>
      <c r="C186">
        <v>82</v>
      </c>
      <c r="D186">
        <v>48</v>
      </c>
      <c r="E186">
        <v>465</v>
      </c>
      <c r="F186">
        <v>38.4</v>
      </c>
      <c r="G186">
        <v>25</v>
      </c>
      <c r="H186">
        <v>1</v>
      </c>
      <c r="K186">
        <f t="shared" si="12"/>
        <v>0.6773968936009801</v>
      </c>
      <c r="L186">
        <f t="shared" si="13"/>
        <v>1.968746200334228</v>
      </c>
      <c r="M186">
        <f t="shared" si="14"/>
        <v>0.663157463616318</v>
      </c>
      <c r="N186">
        <f t="shared" si="15"/>
        <v>-0.41074281531159706</v>
      </c>
      <c r="O186">
        <f t="shared" si="16"/>
        <v>0.663157463616318</v>
      </c>
      <c r="P186">
        <f t="shared" si="17"/>
        <v>1</v>
      </c>
    </row>
    <row r="187" spans="1:16">
      <c r="A187">
        <v>0</v>
      </c>
      <c r="B187">
        <v>84</v>
      </c>
      <c r="C187">
        <v>64</v>
      </c>
      <c r="D187">
        <v>22</v>
      </c>
      <c r="E187">
        <v>66</v>
      </c>
      <c r="F187">
        <v>35.799999999999997</v>
      </c>
      <c r="G187">
        <v>21</v>
      </c>
      <c r="H187">
        <v>0</v>
      </c>
      <c r="K187">
        <f t="shared" si="12"/>
        <v>5.6267693187472823E-4</v>
      </c>
      <c r="L187">
        <f t="shared" si="13"/>
        <v>1.0005628352642348</v>
      </c>
      <c r="M187">
        <f t="shared" si="14"/>
        <v>0.49985933077074274</v>
      </c>
      <c r="N187">
        <f t="shared" si="15"/>
        <v>-0.69342855860154828</v>
      </c>
      <c r="O187">
        <f t="shared" si="16"/>
        <v>0.50014066922925726</v>
      </c>
      <c r="P187">
        <f t="shared" si="17"/>
        <v>0</v>
      </c>
    </row>
    <row r="188" spans="1:16">
      <c r="A188">
        <v>2</v>
      </c>
      <c r="B188">
        <v>105</v>
      </c>
      <c r="C188">
        <v>58</v>
      </c>
      <c r="D188">
        <v>40</v>
      </c>
      <c r="E188">
        <v>94</v>
      </c>
      <c r="F188">
        <v>34.9</v>
      </c>
      <c r="G188">
        <v>25</v>
      </c>
      <c r="H188">
        <v>0</v>
      </c>
      <c r="K188">
        <f t="shared" si="12"/>
        <v>0.21573184983765403</v>
      </c>
      <c r="L188">
        <f t="shared" si="13"/>
        <v>1.2407696218126956</v>
      </c>
      <c r="M188">
        <f t="shared" si="14"/>
        <v>0.44627523966120131</v>
      </c>
      <c r="N188">
        <f t="shared" si="15"/>
        <v>-0.80681938802283759</v>
      </c>
      <c r="O188">
        <f t="shared" si="16"/>
        <v>0.55372476033879869</v>
      </c>
      <c r="P188">
        <f t="shared" si="17"/>
        <v>0</v>
      </c>
    </row>
    <row r="189" spans="1:16">
      <c r="A189">
        <v>2</v>
      </c>
      <c r="B189">
        <v>122</v>
      </c>
      <c r="C189">
        <v>52</v>
      </c>
      <c r="D189">
        <v>43</v>
      </c>
      <c r="E189">
        <v>158</v>
      </c>
      <c r="F189">
        <v>36.200000000000003</v>
      </c>
      <c r="G189">
        <v>28</v>
      </c>
      <c r="H189">
        <v>0</v>
      </c>
      <c r="K189">
        <f t="shared" si="12"/>
        <v>0.36148437377607551</v>
      </c>
      <c r="L189">
        <f t="shared" si="13"/>
        <v>1.4354585910116897</v>
      </c>
      <c r="M189">
        <f t="shared" si="14"/>
        <v>0.4106002884592671</v>
      </c>
      <c r="N189">
        <f t="shared" si="15"/>
        <v>-0.89013507186645691</v>
      </c>
      <c r="O189">
        <f t="shared" si="16"/>
        <v>0.5893997115407329</v>
      </c>
      <c r="P189">
        <f t="shared" si="17"/>
        <v>0</v>
      </c>
    </row>
    <row r="190" spans="1:16">
      <c r="A190">
        <v>12</v>
      </c>
      <c r="B190">
        <v>140</v>
      </c>
      <c r="C190">
        <v>82</v>
      </c>
      <c r="D190">
        <v>43</v>
      </c>
      <c r="E190">
        <v>325</v>
      </c>
      <c r="F190">
        <v>39.200000000000003</v>
      </c>
      <c r="G190">
        <v>58</v>
      </c>
      <c r="H190">
        <v>1</v>
      </c>
      <c r="K190">
        <f t="shared" si="12"/>
        <v>0.79218644862190424</v>
      </c>
      <c r="L190">
        <f t="shared" si="13"/>
        <v>2.2082193099079506</v>
      </c>
      <c r="M190">
        <f t="shared" si="14"/>
        <v>0.68830061058740655</v>
      </c>
      <c r="N190">
        <f t="shared" si="15"/>
        <v>-0.37352960248333106</v>
      </c>
      <c r="O190">
        <f t="shared" si="16"/>
        <v>0.68830061058740655</v>
      </c>
      <c r="P190">
        <f t="shared" si="17"/>
        <v>1</v>
      </c>
    </row>
    <row r="191" spans="1:16">
      <c r="A191">
        <v>0</v>
      </c>
      <c r="B191">
        <v>98</v>
      </c>
      <c r="C191">
        <v>82</v>
      </c>
      <c r="D191">
        <v>15</v>
      </c>
      <c r="E191">
        <v>84</v>
      </c>
      <c r="F191">
        <v>25.2</v>
      </c>
      <c r="G191">
        <v>22</v>
      </c>
      <c r="H191">
        <v>0</v>
      </c>
      <c r="K191">
        <f t="shared" si="12"/>
        <v>-3.2134174482235378E-2</v>
      </c>
      <c r="L191">
        <f t="shared" si="13"/>
        <v>0.96837664192752682</v>
      </c>
      <c r="M191">
        <f t="shared" si="14"/>
        <v>0.50803285240204488</v>
      </c>
      <c r="N191">
        <f t="shared" si="15"/>
        <v>-0.67720916341190929</v>
      </c>
      <c r="O191">
        <f t="shared" si="16"/>
        <v>0.49196714759795512</v>
      </c>
      <c r="P191">
        <f t="shared" si="17"/>
        <v>0</v>
      </c>
    </row>
    <row r="192" spans="1:16">
      <c r="A192">
        <v>1</v>
      </c>
      <c r="B192">
        <v>87</v>
      </c>
      <c r="C192">
        <v>60</v>
      </c>
      <c r="D192">
        <v>37</v>
      </c>
      <c r="E192">
        <v>75</v>
      </c>
      <c r="F192">
        <v>37.200000000000003</v>
      </c>
      <c r="G192">
        <v>22</v>
      </c>
      <c r="H192">
        <v>0</v>
      </c>
      <c r="K192">
        <f t="shared" si="12"/>
        <v>8.4917387199627825E-2</v>
      </c>
      <c r="L192">
        <f t="shared" si="13"/>
        <v>1.0886271284477822</v>
      </c>
      <c r="M192">
        <f t="shared" si="14"/>
        <v>0.47878340101000982</v>
      </c>
      <c r="N192">
        <f t="shared" si="15"/>
        <v>-0.73650697379815788</v>
      </c>
      <c r="O192">
        <f t="shared" si="16"/>
        <v>0.52121659898999018</v>
      </c>
      <c r="P192">
        <f t="shared" si="17"/>
        <v>0</v>
      </c>
    </row>
    <row r="193" spans="1:16">
      <c r="A193">
        <v>0</v>
      </c>
      <c r="B193">
        <v>93</v>
      </c>
      <c r="C193">
        <v>100</v>
      </c>
      <c r="D193">
        <v>39</v>
      </c>
      <c r="E193">
        <v>72</v>
      </c>
      <c r="F193">
        <v>43.4</v>
      </c>
      <c r="G193">
        <v>35</v>
      </c>
      <c r="H193">
        <v>0</v>
      </c>
      <c r="K193">
        <f t="shared" si="12"/>
        <v>0.24715475204129117</v>
      </c>
      <c r="L193">
        <f t="shared" si="13"/>
        <v>1.2803772384389704</v>
      </c>
      <c r="M193">
        <f t="shared" si="14"/>
        <v>0.43852393505056597</v>
      </c>
      <c r="N193">
        <f t="shared" si="15"/>
        <v>-0.82434088473579381</v>
      </c>
      <c r="O193">
        <f t="shared" si="16"/>
        <v>0.56147606494943403</v>
      </c>
      <c r="P193">
        <f t="shared" si="17"/>
        <v>0</v>
      </c>
    </row>
    <row r="194" spans="1:16">
      <c r="A194">
        <v>1</v>
      </c>
      <c r="B194">
        <v>107</v>
      </c>
      <c r="C194">
        <v>72</v>
      </c>
      <c r="D194">
        <v>30</v>
      </c>
      <c r="E194">
        <v>82</v>
      </c>
      <c r="F194">
        <v>30.8</v>
      </c>
      <c r="G194">
        <v>24</v>
      </c>
      <c r="H194">
        <v>0</v>
      </c>
      <c r="K194">
        <f t="shared" si="12"/>
        <v>0.14373922576297354</v>
      </c>
      <c r="L194">
        <f t="shared" si="13"/>
        <v>1.1545829837671551</v>
      </c>
      <c r="M194">
        <f t="shared" si="14"/>
        <v>0.46412693664347149</v>
      </c>
      <c r="N194">
        <f t="shared" si="15"/>
        <v>-0.767597193817118</v>
      </c>
      <c r="O194">
        <f t="shared" si="16"/>
        <v>0.53587306335652851</v>
      </c>
      <c r="P194">
        <f t="shared" si="17"/>
        <v>0</v>
      </c>
    </row>
    <row r="195" spans="1:16">
      <c r="A195">
        <v>1</v>
      </c>
      <c r="B195">
        <v>109</v>
      </c>
      <c r="C195">
        <v>60</v>
      </c>
      <c r="D195">
        <v>8</v>
      </c>
      <c r="E195">
        <v>182</v>
      </c>
      <c r="F195">
        <v>25.4</v>
      </c>
      <c r="G195">
        <v>21</v>
      </c>
      <c r="H195">
        <v>0</v>
      </c>
      <c r="K195">
        <f t="shared" ref="K195:K258" si="18">J$3+A195*J$4+J$5*B195++J$6*C195+J$7*D195+J$8*E195+J$9*F195+J$10*G195</f>
        <v>3.1210520526767482E-2</v>
      </c>
      <c r="L195">
        <f t="shared" ref="L195:L258" si="19">EXP(K195)</f>
        <v>1.0317026756169054</v>
      </c>
      <c r="M195">
        <f t="shared" ref="M195:M258" si="20">IF(H195=1,L195/(1+L195),1-(L195/(1+L195)))</f>
        <v>0.49219800318290197</v>
      </c>
      <c r="N195">
        <f t="shared" ref="N195:N258" si="21">LN(M195)</f>
        <v>-0.70887419795559303</v>
      </c>
      <c r="O195">
        <f t="shared" ref="O195:O258" si="22">(EXP(J$3+J$4*A195+J$5*B195+J$6*C195+J$7*D195+J$8*E195+J$9*F195+J$10*G195))/(1+(EXP(J$3+J$4*A195+J$5*B195+J$6*C195+J$7*D195+J$8*E195+J$9*F195+J$10*G195)))</f>
        <v>0.50780199681709803</v>
      </c>
      <c r="P195">
        <f t="shared" ref="P195:P258" si="23">IF(O195&lt;0.6, 0,1)</f>
        <v>0</v>
      </c>
    </row>
    <row r="196" spans="1:16">
      <c r="A196">
        <v>1</v>
      </c>
      <c r="B196">
        <v>90</v>
      </c>
      <c r="C196">
        <v>62</v>
      </c>
      <c r="D196">
        <v>18</v>
      </c>
      <c r="E196">
        <v>59</v>
      </c>
      <c r="F196">
        <v>25.1</v>
      </c>
      <c r="G196">
        <v>25</v>
      </c>
      <c r="H196">
        <v>0</v>
      </c>
      <c r="K196">
        <f t="shared" si="18"/>
        <v>-3.7575867389059714E-2</v>
      </c>
      <c r="L196">
        <f t="shared" si="19"/>
        <v>0.9631213454471288</v>
      </c>
      <c r="M196">
        <f t="shared" si="20"/>
        <v>0.50939286168896292</v>
      </c>
      <c r="N196">
        <f t="shared" si="21"/>
        <v>-0.67453572970936138</v>
      </c>
      <c r="O196">
        <f t="shared" si="22"/>
        <v>0.49060713831103714</v>
      </c>
      <c r="P196">
        <f t="shared" si="23"/>
        <v>0</v>
      </c>
    </row>
    <row r="197" spans="1:16">
      <c r="A197">
        <v>1</v>
      </c>
      <c r="B197">
        <v>125</v>
      </c>
      <c r="C197">
        <v>70</v>
      </c>
      <c r="D197">
        <v>24</v>
      </c>
      <c r="E197">
        <v>110</v>
      </c>
      <c r="F197">
        <v>24.3</v>
      </c>
      <c r="G197">
        <v>25</v>
      </c>
      <c r="H197">
        <v>0</v>
      </c>
      <c r="K197">
        <f t="shared" si="18"/>
        <v>0.1875404370760386</v>
      </c>
      <c r="L197">
        <f t="shared" si="19"/>
        <v>1.2062790268314978</v>
      </c>
      <c r="M197">
        <f t="shared" si="20"/>
        <v>0.45325182709828382</v>
      </c>
      <c r="N197">
        <f t="shared" si="21"/>
        <v>-0.79130739825042817</v>
      </c>
      <c r="O197">
        <f t="shared" si="22"/>
        <v>0.54674817290171618</v>
      </c>
      <c r="P197">
        <f t="shared" si="23"/>
        <v>0</v>
      </c>
    </row>
    <row r="198" spans="1:16">
      <c r="A198">
        <v>1</v>
      </c>
      <c r="B198">
        <v>119</v>
      </c>
      <c r="C198">
        <v>54</v>
      </c>
      <c r="D198">
        <v>13</v>
      </c>
      <c r="E198">
        <v>50</v>
      </c>
      <c r="F198">
        <v>22.3</v>
      </c>
      <c r="G198">
        <v>24</v>
      </c>
      <c r="H198">
        <v>0</v>
      </c>
      <c r="K198">
        <f t="shared" si="18"/>
        <v>0.11086100103183119</v>
      </c>
      <c r="L198">
        <f t="shared" si="19"/>
        <v>1.1172396009093015</v>
      </c>
      <c r="M198">
        <f t="shared" si="20"/>
        <v>0.47231310030783713</v>
      </c>
      <c r="N198">
        <f t="shared" si="21"/>
        <v>-0.75011316520486515</v>
      </c>
      <c r="O198">
        <f t="shared" si="22"/>
        <v>0.52768689969216287</v>
      </c>
      <c r="P198">
        <f t="shared" si="23"/>
        <v>0</v>
      </c>
    </row>
    <row r="199" spans="1:16">
      <c r="A199">
        <v>5</v>
      </c>
      <c r="B199">
        <v>144</v>
      </c>
      <c r="C199">
        <v>82</v>
      </c>
      <c r="D199">
        <v>26</v>
      </c>
      <c r="E199">
        <v>285</v>
      </c>
      <c r="F199">
        <v>32</v>
      </c>
      <c r="G199">
        <v>58</v>
      </c>
      <c r="H199">
        <v>1</v>
      </c>
      <c r="K199">
        <f t="shared" si="18"/>
        <v>0.63074375138422889</v>
      </c>
      <c r="L199">
        <f t="shared" si="19"/>
        <v>1.8790075741757659</v>
      </c>
      <c r="M199">
        <f t="shared" si="20"/>
        <v>0.65265808642886558</v>
      </c>
      <c r="N199">
        <f t="shared" si="21"/>
        <v>-0.4267018910779749</v>
      </c>
      <c r="O199">
        <f t="shared" si="22"/>
        <v>0.65265808642886558</v>
      </c>
      <c r="P199">
        <f t="shared" si="23"/>
        <v>1</v>
      </c>
    </row>
    <row r="200" spans="1:16">
      <c r="A200">
        <v>3</v>
      </c>
      <c r="B200">
        <v>100</v>
      </c>
      <c r="C200">
        <v>68</v>
      </c>
      <c r="D200">
        <v>23</v>
      </c>
      <c r="E200">
        <v>81</v>
      </c>
      <c r="F200">
        <v>31.6</v>
      </c>
      <c r="G200">
        <v>28</v>
      </c>
      <c r="H200">
        <v>0</v>
      </c>
      <c r="K200">
        <f t="shared" si="18"/>
        <v>0.14239076641613346</v>
      </c>
      <c r="L200">
        <f t="shared" si="19"/>
        <v>1.1530271247930368</v>
      </c>
      <c r="M200">
        <f t="shared" si="20"/>
        <v>0.46446233235269929</v>
      </c>
      <c r="N200">
        <f t="shared" si="21"/>
        <v>-0.7668748169062255</v>
      </c>
      <c r="O200">
        <f t="shared" si="22"/>
        <v>0.53553766764730071</v>
      </c>
      <c r="P200">
        <f t="shared" si="23"/>
        <v>0</v>
      </c>
    </row>
    <row r="201" spans="1:16">
      <c r="A201">
        <v>1</v>
      </c>
      <c r="B201">
        <v>100</v>
      </c>
      <c r="C201">
        <v>66</v>
      </c>
      <c r="D201">
        <v>29</v>
      </c>
      <c r="E201">
        <v>196</v>
      </c>
      <c r="F201">
        <v>32</v>
      </c>
      <c r="G201">
        <v>42</v>
      </c>
      <c r="H201">
        <v>0</v>
      </c>
      <c r="K201">
        <f t="shared" si="18"/>
        <v>0.21441803531239079</v>
      </c>
      <c r="L201">
        <f t="shared" si="19"/>
        <v>1.2391405510438016</v>
      </c>
      <c r="M201">
        <f t="shared" si="20"/>
        <v>0.4465999240350671</v>
      </c>
      <c r="N201">
        <f t="shared" si="21"/>
        <v>-0.80609210967222678</v>
      </c>
      <c r="O201">
        <f t="shared" si="22"/>
        <v>0.5534000759649329</v>
      </c>
      <c r="P201">
        <f t="shared" si="23"/>
        <v>0</v>
      </c>
    </row>
    <row r="202" spans="1:16">
      <c r="A202">
        <v>1</v>
      </c>
      <c r="B202">
        <v>131</v>
      </c>
      <c r="C202">
        <v>64</v>
      </c>
      <c r="D202">
        <v>14</v>
      </c>
      <c r="E202">
        <v>415</v>
      </c>
      <c r="F202">
        <v>23.7</v>
      </c>
      <c r="G202">
        <v>21</v>
      </c>
      <c r="H202">
        <v>0</v>
      </c>
      <c r="K202">
        <f t="shared" si="18"/>
        <v>0.1453809987509955</v>
      </c>
      <c r="L202">
        <f t="shared" si="19"/>
        <v>1.1564801038164321</v>
      </c>
      <c r="M202">
        <f t="shared" si="20"/>
        <v>0.46371863029491867</v>
      </c>
      <c r="N202">
        <f t="shared" si="21"/>
        <v>-0.76847731091733007</v>
      </c>
      <c r="O202">
        <f t="shared" si="22"/>
        <v>0.53628136970508133</v>
      </c>
      <c r="P202">
        <f t="shared" si="23"/>
        <v>0</v>
      </c>
    </row>
    <row r="203" spans="1:16">
      <c r="A203">
        <v>4</v>
      </c>
      <c r="B203">
        <v>116</v>
      </c>
      <c r="C203">
        <v>72</v>
      </c>
      <c r="D203">
        <v>12</v>
      </c>
      <c r="E203">
        <v>87</v>
      </c>
      <c r="F203">
        <v>22.1</v>
      </c>
      <c r="G203">
        <v>37</v>
      </c>
      <c r="H203">
        <v>0</v>
      </c>
      <c r="K203">
        <f t="shared" si="18"/>
        <v>0.1954205445576607</v>
      </c>
      <c r="L203">
        <f t="shared" si="19"/>
        <v>1.215822186394599</v>
      </c>
      <c r="M203">
        <f t="shared" si="20"/>
        <v>0.45129975055765492</v>
      </c>
      <c r="N203">
        <f t="shared" si="21"/>
        <v>-0.7956235248689113</v>
      </c>
      <c r="O203">
        <f t="shared" si="22"/>
        <v>0.54870024944234508</v>
      </c>
      <c r="P203">
        <f t="shared" si="23"/>
        <v>0</v>
      </c>
    </row>
    <row r="204" spans="1:16">
      <c r="A204">
        <v>2</v>
      </c>
      <c r="B204">
        <v>127</v>
      </c>
      <c r="C204">
        <v>58</v>
      </c>
      <c r="D204">
        <v>24</v>
      </c>
      <c r="E204">
        <v>275</v>
      </c>
      <c r="F204">
        <v>27.7</v>
      </c>
      <c r="G204">
        <v>25</v>
      </c>
      <c r="H204">
        <v>0</v>
      </c>
      <c r="K204">
        <f t="shared" si="18"/>
        <v>0.234810961659594</v>
      </c>
      <c r="L204">
        <f t="shared" si="19"/>
        <v>1.2646696750781314</v>
      </c>
      <c r="M204">
        <f t="shared" si="20"/>
        <v>0.44156550114334003</v>
      </c>
      <c r="N204">
        <f t="shared" si="21"/>
        <v>-0.81742890948188074</v>
      </c>
      <c r="O204">
        <f t="shared" si="22"/>
        <v>0.55843449885665997</v>
      </c>
      <c r="P204">
        <f t="shared" si="23"/>
        <v>0</v>
      </c>
    </row>
    <row r="205" spans="1:16">
      <c r="A205">
        <v>3</v>
      </c>
      <c r="B205">
        <v>96</v>
      </c>
      <c r="C205">
        <v>56</v>
      </c>
      <c r="D205">
        <v>34</v>
      </c>
      <c r="E205">
        <v>115</v>
      </c>
      <c r="F205">
        <v>24.7</v>
      </c>
      <c r="G205">
        <v>39</v>
      </c>
      <c r="H205">
        <v>0</v>
      </c>
      <c r="K205">
        <f t="shared" si="18"/>
        <v>0.14174880707104334</v>
      </c>
      <c r="L205">
        <f t="shared" si="19"/>
        <v>1.1522871657923432</v>
      </c>
      <c r="M205">
        <f t="shared" si="20"/>
        <v>0.46462201507941436</v>
      </c>
      <c r="N205">
        <f t="shared" si="21"/>
        <v>-0.76653107475035176</v>
      </c>
      <c r="O205">
        <f t="shared" si="22"/>
        <v>0.53537798492058564</v>
      </c>
      <c r="P205">
        <f t="shared" si="23"/>
        <v>0</v>
      </c>
    </row>
    <row r="206" spans="1:16">
      <c r="A206">
        <v>5</v>
      </c>
      <c r="B206">
        <v>136</v>
      </c>
      <c r="C206">
        <v>84</v>
      </c>
      <c r="D206">
        <v>41</v>
      </c>
      <c r="E206">
        <v>88</v>
      </c>
      <c r="F206">
        <v>35</v>
      </c>
      <c r="G206">
        <v>35</v>
      </c>
      <c r="H206">
        <v>1</v>
      </c>
      <c r="K206">
        <f t="shared" si="18"/>
        <v>0.51178101481402383</v>
      </c>
      <c r="L206">
        <f t="shared" si="19"/>
        <v>1.6682597459657293</v>
      </c>
      <c r="M206">
        <f t="shared" si="20"/>
        <v>0.62522389302167902</v>
      </c>
      <c r="N206">
        <f t="shared" si="21"/>
        <v>-0.46964546455967865</v>
      </c>
      <c r="O206">
        <f t="shared" si="22"/>
        <v>0.62522389302167902</v>
      </c>
      <c r="P206">
        <f t="shared" si="23"/>
        <v>1</v>
      </c>
    </row>
    <row r="207" spans="1:16">
      <c r="A207">
        <v>2</v>
      </c>
      <c r="B207">
        <v>123</v>
      </c>
      <c r="C207">
        <v>48</v>
      </c>
      <c r="D207">
        <v>32</v>
      </c>
      <c r="E207">
        <v>165</v>
      </c>
      <c r="F207">
        <v>42.1</v>
      </c>
      <c r="G207">
        <v>26</v>
      </c>
      <c r="H207">
        <v>0</v>
      </c>
      <c r="K207">
        <f t="shared" si="18"/>
        <v>0.39237566382221678</v>
      </c>
      <c r="L207">
        <f t="shared" si="19"/>
        <v>1.4804937748995264</v>
      </c>
      <c r="M207">
        <f t="shared" si="20"/>
        <v>0.40314553905320949</v>
      </c>
      <c r="N207">
        <f t="shared" si="21"/>
        <v>-0.90845764314062949</v>
      </c>
      <c r="O207">
        <f t="shared" si="22"/>
        <v>0.59685446094679051</v>
      </c>
      <c r="P207">
        <f t="shared" si="23"/>
        <v>0</v>
      </c>
    </row>
    <row r="208" spans="1:16">
      <c r="A208">
        <v>1</v>
      </c>
      <c r="B208">
        <v>172</v>
      </c>
      <c r="C208">
        <v>68</v>
      </c>
      <c r="D208">
        <v>49</v>
      </c>
      <c r="E208">
        <v>579</v>
      </c>
      <c r="F208">
        <v>42.4</v>
      </c>
      <c r="G208">
        <v>28</v>
      </c>
      <c r="H208">
        <v>1</v>
      </c>
      <c r="K208">
        <f t="shared" si="18"/>
        <v>0.702825591707682</v>
      </c>
      <c r="L208">
        <f t="shared" si="19"/>
        <v>2.0194507968679893</v>
      </c>
      <c r="M208">
        <f t="shared" si="20"/>
        <v>0.66881394423208407</v>
      </c>
      <c r="N208">
        <f t="shared" si="21"/>
        <v>-0.4022493677996834</v>
      </c>
      <c r="O208">
        <f t="shared" si="22"/>
        <v>0.66881394423208407</v>
      </c>
      <c r="P208">
        <f t="shared" si="23"/>
        <v>1</v>
      </c>
    </row>
    <row r="209" spans="1:16">
      <c r="A209">
        <v>1</v>
      </c>
      <c r="B209">
        <v>112</v>
      </c>
      <c r="C209">
        <v>72</v>
      </c>
      <c r="D209">
        <v>30</v>
      </c>
      <c r="E209">
        <v>176</v>
      </c>
      <c r="F209">
        <v>34.4</v>
      </c>
      <c r="G209">
        <v>25</v>
      </c>
      <c r="H209">
        <v>0</v>
      </c>
      <c r="K209">
        <f t="shared" si="18"/>
        <v>0.20966720586442378</v>
      </c>
      <c r="L209">
        <f t="shared" si="19"/>
        <v>1.2332675674417399</v>
      </c>
      <c r="M209">
        <f t="shared" si="20"/>
        <v>0.4477743798274576</v>
      </c>
      <c r="N209">
        <f t="shared" si="21"/>
        <v>-0.80346578988108086</v>
      </c>
      <c r="O209">
        <f t="shared" si="22"/>
        <v>0.5522256201725424</v>
      </c>
      <c r="P209">
        <f t="shared" si="23"/>
        <v>0</v>
      </c>
    </row>
    <row r="210" spans="1:16">
      <c r="A210">
        <v>1</v>
      </c>
      <c r="B210">
        <v>143</v>
      </c>
      <c r="C210">
        <v>84</v>
      </c>
      <c r="D210">
        <v>23</v>
      </c>
      <c r="E210">
        <v>310</v>
      </c>
      <c r="F210">
        <v>42.4</v>
      </c>
      <c r="G210">
        <v>22</v>
      </c>
      <c r="H210">
        <v>0</v>
      </c>
      <c r="K210">
        <f t="shared" si="18"/>
        <v>0.44076229006242085</v>
      </c>
      <c r="L210">
        <f t="shared" si="19"/>
        <v>1.5538912830368299</v>
      </c>
      <c r="M210">
        <f t="shared" si="20"/>
        <v>0.39155934578816554</v>
      </c>
      <c r="N210">
        <f t="shared" si="21"/>
        <v>-0.93761818937341301</v>
      </c>
      <c r="O210">
        <f t="shared" si="22"/>
        <v>0.60844065421183446</v>
      </c>
      <c r="P210">
        <f t="shared" si="23"/>
        <v>1</v>
      </c>
    </row>
    <row r="211" spans="1:16">
      <c r="A211">
        <v>1</v>
      </c>
      <c r="B211">
        <v>143</v>
      </c>
      <c r="C211">
        <v>74</v>
      </c>
      <c r="D211">
        <v>22</v>
      </c>
      <c r="E211">
        <v>61</v>
      </c>
      <c r="F211">
        <v>26.2</v>
      </c>
      <c r="G211">
        <v>21</v>
      </c>
      <c r="H211">
        <v>0</v>
      </c>
      <c r="K211">
        <f t="shared" si="18"/>
        <v>0.29788130991061773</v>
      </c>
      <c r="L211">
        <f t="shared" si="19"/>
        <v>1.3470019026151241</v>
      </c>
      <c r="M211">
        <f t="shared" si="20"/>
        <v>0.42607549609813256</v>
      </c>
      <c r="N211">
        <f t="shared" si="21"/>
        <v>-0.8531387275268979</v>
      </c>
      <c r="O211">
        <f t="shared" si="22"/>
        <v>0.57392450390186744</v>
      </c>
      <c r="P211">
        <f t="shared" si="23"/>
        <v>0</v>
      </c>
    </row>
    <row r="212" spans="1:16">
      <c r="A212">
        <v>0</v>
      </c>
      <c r="B212">
        <v>138</v>
      </c>
      <c r="C212">
        <v>60</v>
      </c>
      <c r="D212">
        <v>35</v>
      </c>
      <c r="E212">
        <v>167</v>
      </c>
      <c r="F212">
        <v>34.6</v>
      </c>
      <c r="G212">
        <v>21</v>
      </c>
      <c r="H212">
        <v>1</v>
      </c>
      <c r="K212">
        <f t="shared" si="18"/>
        <v>0.36029660466694191</v>
      </c>
      <c r="L212">
        <f t="shared" si="19"/>
        <v>1.4337546098082943</v>
      </c>
      <c r="M212">
        <f t="shared" si="20"/>
        <v>0.58911223178791661</v>
      </c>
      <c r="N212">
        <f t="shared" si="21"/>
        <v>-0.52913856715296614</v>
      </c>
      <c r="O212">
        <f t="shared" si="22"/>
        <v>0.58911223178791661</v>
      </c>
      <c r="P212">
        <f t="shared" si="23"/>
        <v>0</v>
      </c>
    </row>
    <row r="213" spans="1:16">
      <c r="A213">
        <v>3</v>
      </c>
      <c r="B213">
        <v>173</v>
      </c>
      <c r="C213">
        <v>84</v>
      </c>
      <c r="D213">
        <v>33</v>
      </c>
      <c r="E213">
        <v>474</v>
      </c>
      <c r="F213">
        <v>35.700000000000003</v>
      </c>
      <c r="G213">
        <v>22</v>
      </c>
      <c r="H213">
        <v>1</v>
      </c>
      <c r="K213">
        <f t="shared" si="18"/>
        <v>0.59752425511136598</v>
      </c>
      <c r="L213">
        <f t="shared" si="19"/>
        <v>1.8176132786464849</v>
      </c>
      <c r="M213">
        <f t="shared" si="20"/>
        <v>0.64508969077531586</v>
      </c>
      <c r="N213">
        <f t="shared" si="21"/>
        <v>-0.43836591638807365</v>
      </c>
      <c r="O213">
        <f t="shared" si="22"/>
        <v>0.64508969077531586</v>
      </c>
      <c r="P213">
        <f t="shared" si="23"/>
        <v>1</v>
      </c>
    </row>
    <row r="214" spans="1:16">
      <c r="A214">
        <v>3</v>
      </c>
      <c r="B214">
        <v>129</v>
      </c>
      <c r="C214">
        <v>64</v>
      </c>
      <c r="D214">
        <v>29</v>
      </c>
      <c r="E214">
        <v>115</v>
      </c>
      <c r="F214">
        <v>26.4</v>
      </c>
      <c r="G214">
        <v>28</v>
      </c>
      <c r="H214">
        <v>1</v>
      </c>
      <c r="K214">
        <f t="shared" si="18"/>
        <v>0.29031050679899378</v>
      </c>
      <c r="L214">
        <f t="shared" si="19"/>
        <v>1.3368425222790103</v>
      </c>
      <c r="M214">
        <f t="shared" si="20"/>
        <v>0.5720721484369653</v>
      </c>
      <c r="N214">
        <f t="shared" si="21"/>
        <v>-0.55849016192545853</v>
      </c>
      <c r="O214">
        <f t="shared" si="22"/>
        <v>0.5720721484369653</v>
      </c>
      <c r="P214">
        <f t="shared" si="23"/>
        <v>0</v>
      </c>
    </row>
    <row r="215" spans="1:16">
      <c r="A215">
        <v>1</v>
      </c>
      <c r="B215">
        <v>119</v>
      </c>
      <c r="C215">
        <v>88</v>
      </c>
      <c r="D215">
        <v>41</v>
      </c>
      <c r="E215">
        <v>170</v>
      </c>
      <c r="F215">
        <v>45.3</v>
      </c>
      <c r="G215">
        <v>26</v>
      </c>
      <c r="H215">
        <v>0</v>
      </c>
      <c r="K215">
        <f t="shared" si="18"/>
        <v>0.38939717943519536</v>
      </c>
      <c r="L215">
        <f t="shared" si="19"/>
        <v>1.4760907077943222</v>
      </c>
      <c r="M215">
        <f t="shared" si="20"/>
        <v>0.40386242590070143</v>
      </c>
      <c r="N215">
        <f t="shared" si="21"/>
        <v>-0.9066809889632349</v>
      </c>
      <c r="O215">
        <f t="shared" si="22"/>
        <v>0.59613757409929857</v>
      </c>
      <c r="P215">
        <f t="shared" si="23"/>
        <v>0</v>
      </c>
    </row>
    <row r="216" spans="1:16">
      <c r="A216">
        <v>2</v>
      </c>
      <c r="B216">
        <v>94</v>
      </c>
      <c r="C216">
        <v>68</v>
      </c>
      <c r="D216">
        <v>18</v>
      </c>
      <c r="E216">
        <v>76</v>
      </c>
      <c r="F216">
        <v>26</v>
      </c>
      <c r="G216">
        <v>21</v>
      </c>
      <c r="H216">
        <v>0</v>
      </c>
      <c r="K216">
        <f t="shared" si="18"/>
        <v>-2.0244852936685764E-2</v>
      </c>
      <c r="L216">
        <f t="shared" si="19"/>
        <v>0.97995869816356884</v>
      </c>
      <c r="M216">
        <f t="shared" si="20"/>
        <v>0.50506104037801891</v>
      </c>
      <c r="N216">
        <f t="shared" si="21"/>
        <v>-0.68307598497553212</v>
      </c>
      <c r="O216">
        <f t="shared" si="22"/>
        <v>0.49493895962198109</v>
      </c>
      <c r="P216">
        <f t="shared" si="23"/>
        <v>0</v>
      </c>
    </row>
    <row r="217" spans="1:16">
      <c r="A217">
        <v>0</v>
      </c>
      <c r="B217">
        <v>102</v>
      </c>
      <c r="C217">
        <v>64</v>
      </c>
      <c r="D217">
        <v>46</v>
      </c>
      <c r="E217">
        <v>78</v>
      </c>
      <c r="F217">
        <v>40.6</v>
      </c>
      <c r="G217">
        <v>21</v>
      </c>
      <c r="H217">
        <v>0</v>
      </c>
      <c r="K217">
        <f t="shared" si="18"/>
        <v>0.21612538175582924</v>
      </c>
      <c r="L217">
        <f t="shared" si="19"/>
        <v>1.24125800035195</v>
      </c>
      <c r="M217">
        <f t="shared" si="20"/>
        <v>0.44617799460970919</v>
      </c>
      <c r="N217">
        <f t="shared" si="21"/>
        <v>-0.80703731552456581</v>
      </c>
      <c r="O217">
        <f t="shared" si="22"/>
        <v>0.55382200539029081</v>
      </c>
      <c r="P217">
        <f t="shared" si="23"/>
        <v>0</v>
      </c>
    </row>
    <row r="218" spans="1:16">
      <c r="A218">
        <v>8</v>
      </c>
      <c r="B218">
        <v>151</v>
      </c>
      <c r="C218">
        <v>78</v>
      </c>
      <c r="D218">
        <v>32</v>
      </c>
      <c r="E218">
        <v>210</v>
      </c>
      <c r="F218">
        <v>42.9</v>
      </c>
      <c r="G218">
        <v>36</v>
      </c>
      <c r="H218">
        <v>1</v>
      </c>
      <c r="K218">
        <f t="shared" si="18"/>
        <v>0.70264280251291633</v>
      </c>
      <c r="L218">
        <f t="shared" si="19"/>
        <v>2.0190816968177394</v>
      </c>
      <c r="M218">
        <f t="shared" si="20"/>
        <v>0.6687734548375921</v>
      </c>
      <c r="N218">
        <f t="shared" si="21"/>
        <v>-0.40230990873260858</v>
      </c>
      <c r="O218">
        <f t="shared" si="22"/>
        <v>0.6687734548375921</v>
      </c>
      <c r="P218">
        <f t="shared" si="23"/>
        <v>1</v>
      </c>
    </row>
    <row r="219" spans="1:16">
      <c r="A219">
        <v>4</v>
      </c>
      <c r="B219">
        <v>184</v>
      </c>
      <c r="C219">
        <v>78</v>
      </c>
      <c r="D219">
        <v>39</v>
      </c>
      <c r="E219">
        <v>277</v>
      </c>
      <c r="F219">
        <v>37</v>
      </c>
      <c r="G219">
        <v>31</v>
      </c>
      <c r="H219">
        <v>1</v>
      </c>
      <c r="K219">
        <f t="shared" si="18"/>
        <v>0.78723366783378768</v>
      </c>
      <c r="L219">
        <f t="shared" si="19"/>
        <v>2.1973095229270192</v>
      </c>
      <c r="M219">
        <f t="shared" si="20"/>
        <v>0.68723703700587091</v>
      </c>
      <c r="N219">
        <f t="shared" si="21"/>
        <v>-0.37507601423781567</v>
      </c>
      <c r="O219">
        <f t="shared" si="22"/>
        <v>0.68723703700587091</v>
      </c>
      <c r="P219">
        <f t="shared" si="23"/>
        <v>1</v>
      </c>
    </row>
    <row r="220" spans="1:16">
      <c r="A220">
        <v>1</v>
      </c>
      <c r="B220">
        <v>181</v>
      </c>
      <c r="C220">
        <v>64</v>
      </c>
      <c r="D220">
        <v>30</v>
      </c>
      <c r="E220">
        <v>180</v>
      </c>
      <c r="F220">
        <v>34.1</v>
      </c>
      <c r="G220">
        <v>38</v>
      </c>
      <c r="H220">
        <v>1</v>
      </c>
      <c r="K220">
        <f t="shared" si="18"/>
        <v>0.74404255374216333</v>
      </c>
      <c r="L220">
        <f t="shared" si="19"/>
        <v>2.104425595694337</v>
      </c>
      <c r="M220">
        <f t="shared" si="20"/>
        <v>0.67787921817583785</v>
      </c>
      <c r="N220">
        <f t="shared" si="21"/>
        <v>-0.38878615119474408</v>
      </c>
      <c r="O220">
        <f t="shared" si="22"/>
        <v>0.67787921817583785</v>
      </c>
      <c r="P220">
        <f t="shared" si="23"/>
        <v>1</v>
      </c>
    </row>
    <row r="221" spans="1:16">
      <c r="A221">
        <v>0</v>
      </c>
      <c r="B221">
        <v>135</v>
      </c>
      <c r="C221">
        <v>94</v>
      </c>
      <c r="D221">
        <v>46</v>
      </c>
      <c r="E221">
        <v>145</v>
      </c>
      <c r="F221">
        <v>40.6</v>
      </c>
      <c r="G221">
        <v>26</v>
      </c>
      <c r="H221">
        <v>0</v>
      </c>
      <c r="K221">
        <f t="shared" si="18"/>
        <v>0.44542506920719394</v>
      </c>
      <c r="L221">
        <f t="shared" si="19"/>
        <v>1.5611536531606938</v>
      </c>
      <c r="M221">
        <f t="shared" si="20"/>
        <v>0.39044904579071626</v>
      </c>
      <c r="N221">
        <f t="shared" si="21"/>
        <v>-0.94045780274705959</v>
      </c>
      <c r="O221">
        <f t="shared" si="22"/>
        <v>0.60955095420928374</v>
      </c>
      <c r="P221">
        <f t="shared" si="23"/>
        <v>1</v>
      </c>
    </row>
    <row r="222" spans="1:16">
      <c r="A222">
        <v>1</v>
      </c>
      <c r="B222">
        <v>95</v>
      </c>
      <c r="C222">
        <v>82</v>
      </c>
      <c r="D222">
        <v>25</v>
      </c>
      <c r="E222">
        <v>180</v>
      </c>
      <c r="F222">
        <v>35</v>
      </c>
      <c r="G222">
        <v>43</v>
      </c>
      <c r="H222">
        <v>1</v>
      </c>
      <c r="K222">
        <f t="shared" si="18"/>
        <v>0.20531585253601098</v>
      </c>
      <c r="L222">
        <f t="shared" si="19"/>
        <v>1.2279128431050943</v>
      </c>
      <c r="M222">
        <f t="shared" si="20"/>
        <v>0.55114940735012041</v>
      </c>
      <c r="N222">
        <f t="shared" si="21"/>
        <v>-0.59574934987027828</v>
      </c>
      <c r="O222">
        <f t="shared" si="22"/>
        <v>0.55114940735012041</v>
      </c>
      <c r="P222">
        <f t="shared" si="23"/>
        <v>0</v>
      </c>
    </row>
    <row r="223" spans="1:16">
      <c r="A223">
        <v>3</v>
      </c>
      <c r="B223">
        <v>89</v>
      </c>
      <c r="C223">
        <v>74</v>
      </c>
      <c r="D223">
        <v>16</v>
      </c>
      <c r="E223">
        <v>85</v>
      </c>
      <c r="F223">
        <v>30.4</v>
      </c>
      <c r="G223">
        <v>38</v>
      </c>
      <c r="H223">
        <v>0</v>
      </c>
      <c r="K223">
        <f t="shared" si="18"/>
        <v>0.10506271667124156</v>
      </c>
      <c r="L223">
        <f t="shared" si="19"/>
        <v>1.110780272612369</v>
      </c>
      <c r="M223">
        <f t="shared" si="20"/>
        <v>0.4737584546222654</v>
      </c>
      <c r="N223">
        <f t="shared" si="21"/>
        <v>-0.74705767657637168</v>
      </c>
      <c r="O223">
        <f t="shared" si="22"/>
        <v>0.5262415453777346</v>
      </c>
      <c r="P223">
        <f t="shared" si="23"/>
        <v>0</v>
      </c>
    </row>
    <row r="224" spans="1:16">
      <c r="A224">
        <v>1</v>
      </c>
      <c r="B224">
        <v>80</v>
      </c>
      <c r="C224">
        <v>74</v>
      </c>
      <c r="D224">
        <v>11</v>
      </c>
      <c r="E224">
        <v>60</v>
      </c>
      <c r="F224">
        <v>30</v>
      </c>
      <c r="G224">
        <v>22</v>
      </c>
      <c r="H224">
        <v>0</v>
      </c>
      <c r="K224">
        <f t="shared" si="18"/>
        <v>-9.2369034637283354E-2</v>
      </c>
      <c r="L224">
        <f t="shared" si="19"/>
        <v>0.91176861325265735</v>
      </c>
      <c r="M224">
        <f t="shared" si="20"/>
        <v>0.52307585398559997</v>
      </c>
      <c r="N224">
        <f t="shared" si="21"/>
        <v>-0.6480287891326233</v>
      </c>
      <c r="O224">
        <f t="shared" si="22"/>
        <v>0.47692414601439997</v>
      </c>
      <c r="P224">
        <f t="shared" si="23"/>
        <v>0</v>
      </c>
    </row>
    <row r="225" spans="1:16">
      <c r="A225">
        <v>2</v>
      </c>
      <c r="B225">
        <v>83</v>
      </c>
      <c r="C225">
        <v>66</v>
      </c>
      <c r="D225">
        <v>23</v>
      </c>
      <c r="E225">
        <v>50</v>
      </c>
      <c r="F225">
        <v>32.200000000000003</v>
      </c>
      <c r="G225">
        <v>22</v>
      </c>
      <c r="H225">
        <v>0</v>
      </c>
      <c r="K225">
        <f t="shared" si="18"/>
        <v>-9.1963360340415745E-3</v>
      </c>
      <c r="L225">
        <f t="shared" si="19"/>
        <v>0.99084582093532247</v>
      </c>
      <c r="M225">
        <f t="shared" si="20"/>
        <v>0.50229906780535538</v>
      </c>
      <c r="N225">
        <f t="shared" si="21"/>
        <v>-0.68855958408022844</v>
      </c>
      <c r="O225">
        <f t="shared" si="22"/>
        <v>0.49770093219464456</v>
      </c>
      <c r="P225">
        <f t="shared" si="23"/>
        <v>0</v>
      </c>
    </row>
    <row r="226" spans="1:16">
      <c r="A226">
        <v>4</v>
      </c>
      <c r="B226">
        <v>117</v>
      </c>
      <c r="C226">
        <v>64</v>
      </c>
      <c r="D226">
        <v>27</v>
      </c>
      <c r="E226">
        <v>120</v>
      </c>
      <c r="F226">
        <v>33.200000000000003</v>
      </c>
      <c r="G226">
        <v>24</v>
      </c>
      <c r="H226">
        <v>0</v>
      </c>
      <c r="K226">
        <f t="shared" si="18"/>
        <v>0.26193077642039092</v>
      </c>
      <c r="L226">
        <f t="shared" si="19"/>
        <v>1.2994365876638492</v>
      </c>
      <c r="M226">
        <f t="shared" si="20"/>
        <v>0.4348891399592657</v>
      </c>
      <c r="N226">
        <f t="shared" si="21"/>
        <v>-0.83266413104175774</v>
      </c>
      <c r="O226">
        <f t="shared" si="22"/>
        <v>0.5651108600407343</v>
      </c>
      <c r="P226">
        <f t="shared" si="23"/>
        <v>0</v>
      </c>
    </row>
    <row r="227" spans="1:16">
      <c r="A227">
        <v>0</v>
      </c>
      <c r="B227">
        <v>180</v>
      </c>
      <c r="C227">
        <v>78</v>
      </c>
      <c r="D227">
        <v>63</v>
      </c>
      <c r="E227">
        <v>14</v>
      </c>
      <c r="F227">
        <v>59.4</v>
      </c>
      <c r="G227">
        <v>25</v>
      </c>
      <c r="H227">
        <v>1</v>
      </c>
      <c r="K227">
        <f t="shared" si="18"/>
        <v>0.97840854217957984</v>
      </c>
      <c r="L227">
        <f t="shared" si="19"/>
        <v>2.6602192446015644</v>
      </c>
      <c r="M227">
        <f t="shared" si="20"/>
        <v>0.72679232221542633</v>
      </c>
      <c r="N227">
        <f t="shared" si="21"/>
        <v>-0.31911450633619043</v>
      </c>
      <c r="O227">
        <f t="shared" si="22"/>
        <v>0.72679232221542633</v>
      </c>
      <c r="P227">
        <f t="shared" si="23"/>
        <v>1</v>
      </c>
    </row>
    <row r="228" spans="1:16">
      <c r="A228">
        <v>1</v>
      </c>
      <c r="B228">
        <v>100</v>
      </c>
      <c r="C228">
        <v>72</v>
      </c>
      <c r="D228">
        <v>12</v>
      </c>
      <c r="E228">
        <v>70</v>
      </c>
      <c r="F228">
        <v>25.3</v>
      </c>
      <c r="G228">
        <v>28</v>
      </c>
      <c r="H228">
        <v>0</v>
      </c>
      <c r="K228">
        <f t="shared" si="18"/>
        <v>3.1390665086751868E-2</v>
      </c>
      <c r="L228">
        <f t="shared" si="19"/>
        <v>1.0318885479828843</v>
      </c>
      <c r="M228">
        <f t="shared" si="20"/>
        <v>0.49215297807191716</v>
      </c>
      <c r="N228">
        <f t="shared" si="21"/>
        <v>-0.70896567977838509</v>
      </c>
      <c r="O228">
        <f t="shared" si="22"/>
        <v>0.50784702192808284</v>
      </c>
      <c r="P228">
        <f t="shared" si="23"/>
        <v>0</v>
      </c>
    </row>
    <row r="229" spans="1:16">
      <c r="A229">
        <v>0</v>
      </c>
      <c r="B229">
        <v>95</v>
      </c>
      <c r="C229">
        <v>80</v>
      </c>
      <c r="D229">
        <v>45</v>
      </c>
      <c r="E229">
        <v>92</v>
      </c>
      <c r="F229">
        <v>36.5</v>
      </c>
      <c r="G229">
        <v>26</v>
      </c>
      <c r="H229">
        <v>0</v>
      </c>
      <c r="K229">
        <f t="shared" si="18"/>
        <v>0.15127498913213533</v>
      </c>
      <c r="L229">
        <f t="shared" si="19"/>
        <v>1.1633165134998686</v>
      </c>
      <c r="M229">
        <f t="shared" si="20"/>
        <v>0.46225320879290765</v>
      </c>
      <c r="N229">
        <f t="shared" si="21"/>
        <v>-0.77164246705612405</v>
      </c>
      <c r="O229">
        <f t="shared" si="22"/>
        <v>0.53774679120709235</v>
      </c>
      <c r="P229">
        <f t="shared" si="23"/>
        <v>0</v>
      </c>
    </row>
    <row r="230" spans="1:16">
      <c r="A230">
        <v>0</v>
      </c>
      <c r="B230">
        <v>104</v>
      </c>
      <c r="C230">
        <v>64</v>
      </c>
      <c r="D230">
        <v>37</v>
      </c>
      <c r="E230">
        <v>64</v>
      </c>
      <c r="F230">
        <v>33.6</v>
      </c>
      <c r="G230">
        <v>22</v>
      </c>
      <c r="H230">
        <v>1</v>
      </c>
      <c r="K230">
        <f t="shared" si="18"/>
        <v>0.14740386080139034</v>
      </c>
      <c r="L230">
        <f t="shared" si="19"/>
        <v>1.1588218712681966</v>
      </c>
      <c r="M230">
        <f t="shared" si="20"/>
        <v>0.53678438535896822</v>
      </c>
      <c r="N230">
        <f t="shared" si="21"/>
        <v>-0.62215878212522102</v>
      </c>
      <c r="O230">
        <f t="shared" si="22"/>
        <v>0.53678438535896822</v>
      </c>
      <c r="P230">
        <f t="shared" si="23"/>
        <v>0</v>
      </c>
    </row>
    <row r="231" spans="1:16">
      <c r="A231">
        <v>0</v>
      </c>
      <c r="B231">
        <v>120</v>
      </c>
      <c r="C231">
        <v>74</v>
      </c>
      <c r="D231">
        <v>18</v>
      </c>
      <c r="E231">
        <v>63</v>
      </c>
      <c r="F231">
        <v>30.5</v>
      </c>
      <c r="G231">
        <v>26</v>
      </c>
      <c r="H231">
        <v>0</v>
      </c>
      <c r="K231">
        <f t="shared" si="18"/>
        <v>0.20250298497519925</v>
      </c>
      <c r="L231">
        <f t="shared" si="19"/>
        <v>1.2244637401103564</v>
      </c>
      <c r="M231">
        <f t="shared" si="20"/>
        <v>0.44954655001496657</v>
      </c>
      <c r="N231">
        <f t="shared" si="21"/>
        <v>-0.79951587088851817</v>
      </c>
      <c r="O231">
        <f t="shared" si="22"/>
        <v>0.55045344998503343</v>
      </c>
      <c r="P231">
        <f t="shared" si="23"/>
        <v>0</v>
      </c>
    </row>
    <row r="232" spans="1:16">
      <c r="A232">
        <v>1</v>
      </c>
      <c r="B232">
        <v>82</v>
      </c>
      <c r="C232">
        <v>64</v>
      </c>
      <c r="D232">
        <v>13</v>
      </c>
      <c r="E232">
        <v>95</v>
      </c>
      <c r="F232">
        <v>21.2</v>
      </c>
      <c r="G232">
        <v>23</v>
      </c>
      <c r="H232">
        <v>0</v>
      </c>
      <c r="K232">
        <f t="shared" si="18"/>
        <v>-0.15707713441091853</v>
      </c>
      <c r="L232">
        <f t="shared" si="19"/>
        <v>0.85463813426615687</v>
      </c>
      <c r="M232">
        <f t="shared" si="20"/>
        <v>0.53918874066270606</v>
      </c>
      <c r="N232">
        <f t="shared" si="21"/>
        <v>-0.61768960116232585</v>
      </c>
      <c r="O232">
        <f t="shared" si="22"/>
        <v>0.46081125933729389</v>
      </c>
      <c r="P232">
        <f t="shared" si="23"/>
        <v>0</v>
      </c>
    </row>
    <row r="233" spans="1:16">
      <c r="A233">
        <v>0</v>
      </c>
      <c r="B233">
        <v>91</v>
      </c>
      <c r="C233">
        <v>68</v>
      </c>
      <c r="D233">
        <v>32</v>
      </c>
      <c r="E233">
        <v>210</v>
      </c>
      <c r="F233">
        <v>39.9</v>
      </c>
      <c r="G233">
        <v>25</v>
      </c>
      <c r="H233">
        <v>0</v>
      </c>
      <c r="K233">
        <f t="shared" si="18"/>
        <v>0.11834860655872254</v>
      </c>
      <c r="L233">
        <f t="shared" si="19"/>
        <v>1.1256364472261824</v>
      </c>
      <c r="M233">
        <f t="shared" si="20"/>
        <v>0.4704473341642853</v>
      </c>
      <c r="N233">
        <f t="shared" si="21"/>
        <v>-0.75407126211086473</v>
      </c>
      <c r="O233">
        <f t="shared" si="22"/>
        <v>0.5295526658357147</v>
      </c>
      <c r="P233">
        <f t="shared" si="23"/>
        <v>0</v>
      </c>
    </row>
    <row r="234" spans="1:16">
      <c r="A234">
        <v>2</v>
      </c>
      <c r="B234">
        <v>100</v>
      </c>
      <c r="C234">
        <v>54</v>
      </c>
      <c r="D234">
        <v>28</v>
      </c>
      <c r="E234">
        <v>105</v>
      </c>
      <c r="F234">
        <v>37.799999999999997</v>
      </c>
      <c r="G234">
        <v>24</v>
      </c>
      <c r="H234">
        <v>0</v>
      </c>
      <c r="K234">
        <f t="shared" si="18"/>
        <v>0.18102319804172373</v>
      </c>
      <c r="L234">
        <f t="shared" si="19"/>
        <v>1.1984429805009968</v>
      </c>
      <c r="M234">
        <f t="shared" si="20"/>
        <v>0.45486738062777177</v>
      </c>
      <c r="N234">
        <f t="shared" si="21"/>
        <v>-0.78774937366491182</v>
      </c>
      <c r="O234">
        <f t="shared" si="22"/>
        <v>0.54513261937222823</v>
      </c>
      <c r="P234">
        <f t="shared" si="23"/>
        <v>0</v>
      </c>
    </row>
    <row r="235" spans="1:16">
      <c r="A235">
        <v>5</v>
      </c>
      <c r="B235">
        <v>86</v>
      </c>
      <c r="C235">
        <v>68</v>
      </c>
      <c r="D235">
        <v>28</v>
      </c>
      <c r="E235">
        <v>71</v>
      </c>
      <c r="F235">
        <v>30.2</v>
      </c>
      <c r="G235">
        <v>24</v>
      </c>
      <c r="H235">
        <v>0</v>
      </c>
      <c r="K235">
        <f t="shared" si="18"/>
        <v>4.6335655722655467E-2</v>
      </c>
      <c r="L235">
        <f t="shared" si="19"/>
        <v>1.0474259264658168</v>
      </c>
      <c r="M235">
        <f t="shared" si="20"/>
        <v>0.48841815817295975</v>
      </c>
      <c r="N235">
        <f t="shared" si="21"/>
        <v>-0.71658335854039146</v>
      </c>
      <c r="O235">
        <f t="shared" si="22"/>
        <v>0.51158184182704025</v>
      </c>
      <c r="P235">
        <f t="shared" si="23"/>
        <v>0</v>
      </c>
    </row>
    <row r="236" spans="1:16">
      <c r="A236">
        <v>10</v>
      </c>
      <c r="B236">
        <v>148</v>
      </c>
      <c r="C236">
        <v>84</v>
      </c>
      <c r="D236">
        <v>48</v>
      </c>
      <c r="E236">
        <v>237</v>
      </c>
      <c r="F236">
        <v>37.6</v>
      </c>
      <c r="G236">
        <v>51</v>
      </c>
      <c r="H236">
        <v>1</v>
      </c>
      <c r="K236">
        <f t="shared" si="18"/>
        <v>0.77830891037577521</v>
      </c>
      <c r="L236">
        <f t="shared" si="19"/>
        <v>2.1777863178967727</v>
      </c>
      <c r="M236">
        <f t="shared" si="20"/>
        <v>0.68531553101347198</v>
      </c>
      <c r="N236">
        <f t="shared" si="21"/>
        <v>-0.37787591756023459</v>
      </c>
      <c r="O236">
        <f t="shared" si="22"/>
        <v>0.68531553101347198</v>
      </c>
      <c r="P236">
        <f t="shared" si="23"/>
        <v>1</v>
      </c>
    </row>
    <row r="237" spans="1:16">
      <c r="A237">
        <v>9</v>
      </c>
      <c r="B237">
        <v>134</v>
      </c>
      <c r="C237">
        <v>74</v>
      </c>
      <c r="D237">
        <v>33</v>
      </c>
      <c r="E237">
        <v>60</v>
      </c>
      <c r="F237">
        <v>25.9</v>
      </c>
      <c r="G237">
        <v>81</v>
      </c>
      <c r="H237">
        <v>0</v>
      </c>
      <c r="K237">
        <f t="shared" si="18"/>
        <v>0.73974911692372614</v>
      </c>
      <c r="L237">
        <f t="shared" si="19"/>
        <v>2.0954097457008203</v>
      </c>
      <c r="M237">
        <f t="shared" si="20"/>
        <v>0.32305900741861038</v>
      </c>
      <c r="N237">
        <f t="shared" si="21"/>
        <v>-1.1299202869379119</v>
      </c>
      <c r="O237">
        <f t="shared" si="22"/>
        <v>0.67694099258138962</v>
      </c>
      <c r="P237">
        <f t="shared" si="23"/>
        <v>1</v>
      </c>
    </row>
    <row r="238" spans="1:16">
      <c r="A238">
        <v>9</v>
      </c>
      <c r="B238">
        <v>120</v>
      </c>
      <c r="C238">
        <v>72</v>
      </c>
      <c r="D238">
        <v>22</v>
      </c>
      <c r="E238">
        <v>56</v>
      </c>
      <c r="F238">
        <v>20.8</v>
      </c>
      <c r="G238">
        <v>48</v>
      </c>
      <c r="H238">
        <v>0</v>
      </c>
      <c r="K238">
        <f t="shared" si="18"/>
        <v>0.36272305611276323</v>
      </c>
      <c r="L238">
        <f t="shared" si="19"/>
        <v>1.4372377699046688</v>
      </c>
      <c r="M238">
        <f t="shared" si="20"/>
        <v>0.41030055103696939</v>
      </c>
      <c r="N238">
        <f t="shared" si="21"/>
        <v>-0.89086533652498046</v>
      </c>
      <c r="O238">
        <f t="shared" si="22"/>
        <v>0.58969944896303061</v>
      </c>
      <c r="P238">
        <f t="shared" si="23"/>
        <v>0</v>
      </c>
    </row>
    <row r="239" spans="1:16">
      <c r="A239">
        <v>8</v>
      </c>
      <c r="B239">
        <v>74</v>
      </c>
      <c r="C239">
        <v>70</v>
      </c>
      <c r="D239">
        <v>40</v>
      </c>
      <c r="E239">
        <v>49</v>
      </c>
      <c r="F239">
        <v>35.299999999999997</v>
      </c>
      <c r="G239">
        <v>39</v>
      </c>
      <c r="H239">
        <v>0</v>
      </c>
      <c r="K239">
        <f t="shared" si="18"/>
        <v>0.17809137166508254</v>
      </c>
      <c r="L239">
        <f t="shared" si="19"/>
        <v>1.1949344994017044</v>
      </c>
      <c r="M239">
        <f t="shared" si="20"/>
        <v>0.45559446091561284</v>
      </c>
      <c r="N239">
        <f t="shared" si="21"/>
        <v>-0.78615220526261942</v>
      </c>
      <c r="O239">
        <f t="shared" si="22"/>
        <v>0.54440553908438716</v>
      </c>
      <c r="P239">
        <f t="shared" si="23"/>
        <v>0</v>
      </c>
    </row>
    <row r="240" spans="1:16">
      <c r="A240">
        <v>0</v>
      </c>
      <c r="B240">
        <v>124</v>
      </c>
      <c r="C240">
        <v>56</v>
      </c>
      <c r="D240">
        <v>13</v>
      </c>
      <c r="E240">
        <v>105</v>
      </c>
      <c r="F240">
        <v>21.8</v>
      </c>
      <c r="G240">
        <v>21</v>
      </c>
      <c r="H240">
        <v>0</v>
      </c>
      <c r="K240">
        <f t="shared" si="18"/>
        <v>0.1010032142470455</v>
      </c>
      <c r="L240">
        <f t="shared" si="19"/>
        <v>1.1062801976155656</v>
      </c>
      <c r="M240">
        <f t="shared" si="20"/>
        <v>0.47477064121481061</v>
      </c>
      <c r="N240">
        <f t="shared" si="21"/>
        <v>-0.74492345216261491</v>
      </c>
      <c r="O240">
        <f t="shared" si="22"/>
        <v>0.52522935878518939</v>
      </c>
      <c r="P240">
        <f t="shared" si="23"/>
        <v>0</v>
      </c>
    </row>
    <row r="241" spans="1:16">
      <c r="A241">
        <v>0</v>
      </c>
      <c r="B241">
        <v>74</v>
      </c>
      <c r="C241">
        <v>52</v>
      </c>
      <c r="D241">
        <v>10</v>
      </c>
      <c r="E241">
        <v>36</v>
      </c>
      <c r="F241">
        <v>27.8</v>
      </c>
      <c r="G241">
        <v>22</v>
      </c>
      <c r="H241">
        <v>0</v>
      </c>
      <c r="K241">
        <f t="shared" si="18"/>
        <v>-0.15670153409533955</v>
      </c>
      <c r="L241">
        <f t="shared" si="19"/>
        <v>0.85495919691093392</v>
      </c>
      <c r="M241">
        <f t="shared" si="20"/>
        <v>0.53909541604219724</v>
      </c>
      <c r="N241">
        <f t="shared" si="21"/>
        <v>-0.61786269954304773</v>
      </c>
      <c r="O241">
        <f t="shared" si="22"/>
        <v>0.46090458395780276</v>
      </c>
      <c r="P241">
        <f t="shared" si="23"/>
        <v>0</v>
      </c>
    </row>
    <row r="242" spans="1:16">
      <c r="A242">
        <v>0</v>
      </c>
      <c r="B242">
        <v>97</v>
      </c>
      <c r="C242">
        <v>64</v>
      </c>
      <c r="D242">
        <v>36</v>
      </c>
      <c r="E242">
        <v>100</v>
      </c>
      <c r="F242">
        <v>36.799999999999997</v>
      </c>
      <c r="G242">
        <v>25</v>
      </c>
      <c r="H242">
        <v>0</v>
      </c>
      <c r="K242">
        <f t="shared" si="18"/>
        <v>0.14744781182013189</v>
      </c>
      <c r="L242">
        <f t="shared" si="19"/>
        <v>1.1588728037892386</v>
      </c>
      <c r="M242">
        <f t="shared" si="20"/>
        <v>0.46320468637374412</v>
      </c>
      <c r="N242">
        <f t="shared" si="21"/>
        <v>-0.76958623538734694</v>
      </c>
      <c r="O242">
        <f t="shared" si="22"/>
        <v>0.53679531362625588</v>
      </c>
      <c r="P242">
        <f t="shared" si="23"/>
        <v>0</v>
      </c>
    </row>
    <row r="243" spans="1:16">
      <c r="A243">
        <v>6</v>
      </c>
      <c r="B243">
        <v>154</v>
      </c>
      <c r="C243">
        <v>78</v>
      </c>
      <c r="D243">
        <v>41</v>
      </c>
      <c r="E243">
        <v>140</v>
      </c>
      <c r="F243">
        <v>46.1</v>
      </c>
      <c r="G243">
        <v>27</v>
      </c>
      <c r="H243">
        <v>0</v>
      </c>
      <c r="K243">
        <f t="shared" si="18"/>
        <v>0.69907435513217453</v>
      </c>
      <c r="L243">
        <f t="shared" si="19"/>
        <v>2.0118895500558187</v>
      </c>
      <c r="M243">
        <f t="shared" si="20"/>
        <v>0.33201748715568513</v>
      </c>
      <c r="N243">
        <f t="shared" si="21"/>
        <v>-1.1025676392970998</v>
      </c>
      <c r="O243">
        <f t="shared" si="22"/>
        <v>0.66798251284431487</v>
      </c>
      <c r="P243">
        <f t="shared" si="23"/>
        <v>1</v>
      </c>
    </row>
    <row r="244" spans="1:16">
      <c r="A244">
        <v>2</v>
      </c>
      <c r="B244">
        <v>105</v>
      </c>
      <c r="C244">
        <v>80</v>
      </c>
      <c r="D244">
        <v>45</v>
      </c>
      <c r="E244">
        <v>191</v>
      </c>
      <c r="F244">
        <v>33.700000000000003</v>
      </c>
      <c r="G244">
        <v>29</v>
      </c>
      <c r="H244">
        <v>1</v>
      </c>
      <c r="K244">
        <f t="shared" si="18"/>
        <v>0.22138767069433707</v>
      </c>
      <c r="L244">
        <f t="shared" si="19"/>
        <v>1.2478070750457935</v>
      </c>
      <c r="M244">
        <f t="shared" si="20"/>
        <v>0.55512196260009217</v>
      </c>
      <c r="N244">
        <f t="shared" si="21"/>
        <v>-0.58856743694513303</v>
      </c>
      <c r="O244">
        <f t="shared" si="22"/>
        <v>0.55512196260009217</v>
      </c>
      <c r="P244">
        <f t="shared" si="23"/>
        <v>0</v>
      </c>
    </row>
    <row r="245" spans="1:16">
      <c r="A245">
        <v>7</v>
      </c>
      <c r="B245">
        <v>114</v>
      </c>
      <c r="C245">
        <v>76</v>
      </c>
      <c r="D245">
        <v>17</v>
      </c>
      <c r="E245">
        <v>110</v>
      </c>
      <c r="F245">
        <v>23.8</v>
      </c>
      <c r="G245">
        <v>31</v>
      </c>
      <c r="H245">
        <v>0</v>
      </c>
      <c r="K245">
        <f t="shared" si="18"/>
        <v>0.20322184834853835</v>
      </c>
      <c r="L245">
        <f t="shared" si="19"/>
        <v>1.225344278700655</v>
      </c>
      <c r="M245">
        <f t="shared" si="20"/>
        <v>0.4493686705339297</v>
      </c>
      <c r="N245">
        <f t="shared" si="21"/>
        <v>-0.79991163564873657</v>
      </c>
      <c r="O245">
        <f t="shared" si="22"/>
        <v>0.5506313294660703</v>
      </c>
      <c r="P245">
        <f t="shared" si="23"/>
        <v>0</v>
      </c>
    </row>
    <row r="246" spans="1:16">
      <c r="A246">
        <v>8</v>
      </c>
      <c r="B246">
        <v>126</v>
      </c>
      <c r="C246">
        <v>74</v>
      </c>
      <c r="D246">
        <v>38</v>
      </c>
      <c r="E246">
        <v>75</v>
      </c>
      <c r="F246">
        <v>25.9</v>
      </c>
      <c r="G246">
        <v>39</v>
      </c>
      <c r="H246">
        <v>0</v>
      </c>
      <c r="K246">
        <f t="shared" si="18"/>
        <v>0.41478687357312705</v>
      </c>
      <c r="L246">
        <f t="shared" si="19"/>
        <v>1.5140480226582158</v>
      </c>
      <c r="M246">
        <f t="shared" si="20"/>
        <v>0.39776487600370303</v>
      </c>
      <c r="N246">
        <f t="shared" si="21"/>
        <v>-0.92189421207718658</v>
      </c>
      <c r="O246">
        <f t="shared" si="22"/>
        <v>0.60223512399629697</v>
      </c>
      <c r="P246">
        <f t="shared" si="23"/>
        <v>1</v>
      </c>
    </row>
    <row r="247" spans="1:16">
      <c r="A247">
        <v>3</v>
      </c>
      <c r="B247">
        <v>158</v>
      </c>
      <c r="C247">
        <v>70</v>
      </c>
      <c r="D247">
        <v>30</v>
      </c>
      <c r="E247">
        <v>328</v>
      </c>
      <c r="F247">
        <v>35.5</v>
      </c>
      <c r="G247">
        <v>35</v>
      </c>
      <c r="H247">
        <v>1</v>
      </c>
      <c r="K247">
        <f t="shared" si="18"/>
        <v>0.59491018824594555</v>
      </c>
      <c r="L247">
        <f t="shared" si="19"/>
        <v>1.8128681207827066</v>
      </c>
      <c r="M247">
        <f t="shared" si="20"/>
        <v>0.64449097609249428</v>
      </c>
      <c r="N247">
        <f t="shared" si="21"/>
        <v>-0.43929445810899276</v>
      </c>
      <c r="O247">
        <f t="shared" si="22"/>
        <v>0.64449097609249428</v>
      </c>
      <c r="P247">
        <f t="shared" si="23"/>
        <v>1</v>
      </c>
    </row>
    <row r="248" spans="1:16">
      <c r="A248">
        <v>4</v>
      </c>
      <c r="B248">
        <v>85</v>
      </c>
      <c r="C248">
        <v>58</v>
      </c>
      <c r="D248">
        <v>22</v>
      </c>
      <c r="E248">
        <v>49</v>
      </c>
      <c r="F248">
        <v>27.8</v>
      </c>
      <c r="G248">
        <v>28</v>
      </c>
      <c r="H248">
        <v>0</v>
      </c>
      <c r="K248">
        <f t="shared" si="18"/>
        <v>2.2899902109850823E-2</v>
      </c>
      <c r="L248">
        <f t="shared" si="19"/>
        <v>1.0231641178517319</v>
      </c>
      <c r="M248">
        <f t="shared" si="20"/>
        <v>0.49427527464348064</v>
      </c>
      <c r="N248">
        <f t="shared" si="21"/>
        <v>-0.70466268087220318</v>
      </c>
      <c r="O248">
        <f t="shared" si="22"/>
        <v>0.50572472535651936</v>
      </c>
      <c r="P248">
        <f t="shared" si="23"/>
        <v>0</v>
      </c>
    </row>
    <row r="249" spans="1:16">
      <c r="A249">
        <v>0</v>
      </c>
      <c r="B249">
        <v>84</v>
      </c>
      <c r="C249">
        <v>82</v>
      </c>
      <c r="D249">
        <v>31</v>
      </c>
      <c r="E249">
        <v>125</v>
      </c>
      <c r="F249">
        <v>38.200000000000003</v>
      </c>
      <c r="G249">
        <v>23</v>
      </c>
      <c r="H249">
        <v>0</v>
      </c>
      <c r="K249">
        <f t="shared" si="18"/>
        <v>4.3567583195554427E-2</v>
      </c>
      <c r="L249">
        <f t="shared" si="19"/>
        <v>1.0445305846414037</v>
      </c>
      <c r="M249">
        <f t="shared" si="20"/>
        <v>0.48910982673090853</v>
      </c>
      <c r="N249">
        <f t="shared" si="21"/>
        <v>-0.71516822018310811</v>
      </c>
      <c r="O249">
        <f t="shared" si="22"/>
        <v>0.51089017326909147</v>
      </c>
      <c r="P249">
        <f t="shared" si="23"/>
        <v>0</v>
      </c>
    </row>
    <row r="250" spans="1:16">
      <c r="A250">
        <v>0</v>
      </c>
      <c r="B250">
        <v>135</v>
      </c>
      <c r="C250">
        <v>68</v>
      </c>
      <c r="D250">
        <v>42</v>
      </c>
      <c r="E250">
        <v>250</v>
      </c>
      <c r="F250">
        <v>42.3</v>
      </c>
      <c r="G250">
        <v>24</v>
      </c>
      <c r="H250">
        <v>1</v>
      </c>
      <c r="K250">
        <f t="shared" si="18"/>
        <v>0.44088462239966497</v>
      </c>
      <c r="L250">
        <f t="shared" si="19"/>
        <v>1.5540813858169287</v>
      </c>
      <c r="M250">
        <f t="shared" si="20"/>
        <v>0.60846979835760096</v>
      </c>
      <c r="N250">
        <f t="shared" si="21"/>
        <v>-0.49680800072369563</v>
      </c>
      <c r="O250">
        <f t="shared" si="22"/>
        <v>0.60846979835760096</v>
      </c>
      <c r="P250">
        <f t="shared" si="23"/>
        <v>1</v>
      </c>
    </row>
    <row r="251" spans="1:16">
      <c r="A251">
        <v>1</v>
      </c>
      <c r="B251">
        <v>139</v>
      </c>
      <c r="C251">
        <v>62</v>
      </c>
      <c r="D251">
        <v>41</v>
      </c>
      <c r="E251">
        <v>480</v>
      </c>
      <c r="F251">
        <v>40.700000000000003</v>
      </c>
      <c r="G251">
        <v>21</v>
      </c>
      <c r="H251">
        <v>0</v>
      </c>
      <c r="K251">
        <f t="shared" si="18"/>
        <v>0.42044061325742393</v>
      </c>
      <c r="L251">
        <f t="shared" si="19"/>
        <v>1.5226322998158701</v>
      </c>
      <c r="M251">
        <f t="shared" si="20"/>
        <v>0.39641132006158453</v>
      </c>
      <c r="N251">
        <f t="shared" si="21"/>
        <v>-0.92530291976557466</v>
      </c>
      <c r="O251">
        <f t="shared" si="22"/>
        <v>0.60358867993841547</v>
      </c>
      <c r="P251">
        <f t="shared" si="23"/>
        <v>1</v>
      </c>
    </row>
    <row r="252" spans="1:16">
      <c r="A252">
        <v>0</v>
      </c>
      <c r="B252">
        <v>173</v>
      </c>
      <c r="C252">
        <v>78</v>
      </c>
      <c r="D252">
        <v>32</v>
      </c>
      <c r="E252">
        <v>265</v>
      </c>
      <c r="F252">
        <v>46.5</v>
      </c>
      <c r="G252">
        <v>58</v>
      </c>
      <c r="H252">
        <v>0</v>
      </c>
      <c r="K252">
        <f t="shared" si="18"/>
        <v>0.92359960067936775</v>
      </c>
      <c r="L252">
        <f t="shared" si="19"/>
        <v>2.5183391094466447</v>
      </c>
      <c r="M252">
        <f t="shared" si="20"/>
        <v>0.28422501893436802</v>
      </c>
      <c r="N252">
        <f t="shared" si="21"/>
        <v>-1.2579890343494371</v>
      </c>
      <c r="O252">
        <f t="shared" si="22"/>
        <v>0.71577498106563198</v>
      </c>
      <c r="P252">
        <f t="shared" si="23"/>
        <v>1</v>
      </c>
    </row>
    <row r="253" spans="1:16">
      <c r="A253">
        <v>2</v>
      </c>
      <c r="B253">
        <v>83</v>
      </c>
      <c r="C253">
        <v>65</v>
      </c>
      <c r="D253">
        <v>28</v>
      </c>
      <c r="E253">
        <v>66</v>
      </c>
      <c r="F253">
        <v>36.799999999999997</v>
      </c>
      <c r="G253">
        <v>24</v>
      </c>
      <c r="H253">
        <v>0</v>
      </c>
      <c r="K253">
        <f t="shared" si="18"/>
        <v>5.9401929329548131E-2</v>
      </c>
      <c r="L253">
        <f t="shared" si="19"/>
        <v>1.0612016831155791</v>
      </c>
      <c r="M253">
        <f t="shared" si="20"/>
        <v>0.48515388289828321</v>
      </c>
      <c r="N253">
        <f t="shared" si="21"/>
        <v>-0.72328915404232419</v>
      </c>
      <c r="O253">
        <f t="shared" si="22"/>
        <v>0.51484611710171679</v>
      </c>
      <c r="P253">
        <f t="shared" si="23"/>
        <v>0</v>
      </c>
    </row>
    <row r="254" spans="1:16">
      <c r="A254">
        <v>4</v>
      </c>
      <c r="B254">
        <v>125</v>
      </c>
      <c r="C254">
        <v>70</v>
      </c>
      <c r="D254">
        <v>18</v>
      </c>
      <c r="E254">
        <v>122</v>
      </c>
      <c r="F254">
        <v>28.9</v>
      </c>
      <c r="G254">
        <v>45</v>
      </c>
      <c r="H254">
        <v>1</v>
      </c>
      <c r="K254">
        <f t="shared" si="18"/>
        <v>0.38419194353967223</v>
      </c>
      <c r="L254">
        <f t="shared" si="19"/>
        <v>1.4684272697614937</v>
      </c>
      <c r="M254">
        <f t="shared" si="20"/>
        <v>0.59488374956389833</v>
      </c>
      <c r="N254">
        <f t="shared" si="21"/>
        <v>-0.51938927140965241</v>
      </c>
      <c r="O254">
        <f t="shared" si="22"/>
        <v>0.59488374956389833</v>
      </c>
      <c r="P254">
        <f t="shared" si="23"/>
        <v>0</v>
      </c>
    </row>
    <row r="255" spans="1:16">
      <c r="A255">
        <v>2</v>
      </c>
      <c r="B255">
        <v>81</v>
      </c>
      <c r="C255">
        <v>72</v>
      </c>
      <c r="D255">
        <v>15</v>
      </c>
      <c r="E255">
        <v>76</v>
      </c>
      <c r="F255">
        <v>30.1</v>
      </c>
      <c r="G255">
        <v>25</v>
      </c>
      <c r="H255">
        <v>0</v>
      </c>
      <c r="K255">
        <f t="shared" si="18"/>
        <v>-4.607016582807244E-2</v>
      </c>
      <c r="L255">
        <f t="shared" si="19"/>
        <v>0.95497495323149062</v>
      </c>
      <c r="M255">
        <f t="shared" si="20"/>
        <v>0.51151550476237173</v>
      </c>
      <c r="N255">
        <f t="shared" si="21"/>
        <v>-0.67037738170896288</v>
      </c>
      <c r="O255">
        <f t="shared" si="22"/>
        <v>0.48848449523762827</v>
      </c>
      <c r="P255">
        <f t="shared" si="23"/>
        <v>0</v>
      </c>
    </row>
    <row r="256" spans="1:16">
      <c r="A256">
        <v>7</v>
      </c>
      <c r="B256">
        <v>195</v>
      </c>
      <c r="C256">
        <v>70</v>
      </c>
      <c r="D256">
        <v>33</v>
      </c>
      <c r="E256">
        <v>145</v>
      </c>
      <c r="F256">
        <v>25.1</v>
      </c>
      <c r="G256">
        <v>55</v>
      </c>
      <c r="H256">
        <v>1</v>
      </c>
      <c r="K256">
        <f t="shared" si="18"/>
        <v>0.9327059515033973</v>
      </c>
      <c r="L256">
        <f t="shared" si="19"/>
        <v>2.5413767239706462</v>
      </c>
      <c r="M256">
        <f t="shared" si="20"/>
        <v>0.71762394177629751</v>
      </c>
      <c r="N256">
        <f t="shared" si="21"/>
        <v>-0.33180960511476149</v>
      </c>
      <c r="O256">
        <f t="shared" si="22"/>
        <v>0.71762394177629751</v>
      </c>
      <c r="P256">
        <f t="shared" si="23"/>
        <v>1</v>
      </c>
    </row>
    <row r="257" spans="1:16">
      <c r="A257">
        <v>6</v>
      </c>
      <c r="B257">
        <v>154</v>
      </c>
      <c r="C257">
        <v>74</v>
      </c>
      <c r="D257">
        <v>32</v>
      </c>
      <c r="E257">
        <v>193</v>
      </c>
      <c r="F257">
        <v>29.3</v>
      </c>
      <c r="G257">
        <v>39</v>
      </c>
      <c r="H257">
        <v>0</v>
      </c>
      <c r="K257">
        <f t="shared" si="18"/>
        <v>0.58381786062739005</v>
      </c>
      <c r="L257">
        <f t="shared" si="19"/>
        <v>1.7928703098364394</v>
      </c>
      <c r="M257">
        <f t="shared" si="20"/>
        <v>0.35805457792938611</v>
      </c>
      <c r="N257">
        <f t="shared" si="21"/>
        <v>-1.0270698518843893</v>
      </c>
      <c r="O257">
        <f t="shared" si="22"/>
        <v>0.64194542207061389</v>
      </c>
      <c r="P257">
        <f t="shared" si="23"/>
        <v>1</v>
      </c>
    </row>
    <row r="258" spans="1:16">
      <c r="A258">
        <v>2</v>
      </c>
      <c r="B258">
        <v>117</v>
      </c>
      <c r="C258">
        <v>90</v>
      </c>
      <c r="D258">
        <v>19</v>
      </c>
      <c r="E258">
        <v>71</v>
      </c>
      <c r="F258">
        <v>25.2</v>
      </c>
      <c r="G258">
        <v>21</v>
      </c>
      <c r="H258">
        <v>0</v>
      </c>
      <c r="K258">
        <f t="shared" si="18"/>
        <v>0.11602660521084396</v>
      </c>
      <c r="L258">
        <f t="shared" si="19"/>
        <v>1.1230257500726624</v>
      </c>
      <c r="M258">
        <f t="shared" si="20"/>
        <v>0.47102584599634467</v>
      </c>
      <c r="N258">
        <f t="shared" si="21"/>
        <v>-0.75284231174443561</v>
      </c>
      <c r="O258">
        <f t="shared" si="22"/>
        <v>0.52897415400365533</v>
      </c>
      <c r="P258">
        <f t="shared" si="23"/>
        <v>0</v>
      </c>
    </row>
    <row r="259" spans="1:16">
      <c r="A259">
        <v>7</v>
      </c>
      <c r="B259">
        <v>94</v>
      </c>
      <c r="C259">
        <v>64</v>
      </c>
      <c r="D259">
        <v>25</v>
      </c>
      <c r="E259">
        <v>79</v>
      </c>
      <c r="F259">
        <v>33.299999999999997</v>
      </c>
      <c r="G259">
        <v>41</v>
      </c>
      <c r="H259">
        <v>0</v>
      </c>
      <c r="K259">
        <f t="shared" ref="K259:K322" si="24">J$3+A259*J$4+J$5*B259++J$6*C259+J$7*D259+J$8*E259+J$9*F259+J$10*G259</f>
        <v>0.25731868893646381</v>
      </c>
      <c r="L259">
        <f t="shared" ref="L259:L322" si="25">EXP(K259)</f>
        <v>1.2934572716051134</v>
      </c>
      <c r="M259">
        <f t="shared" ref="M259:M322" si="26">IF(H259=1,L259/(1+L259),1-(L259/(1+L259)))</f>
        <v>0.43602294770468253</v>
      </c>
      <c r="N259">
        <f t="shared" ref="N259:N322" si="27">LN(M259)</f>
        <v>-0.83006040466794695</v>
      </c>
      <c r="O259">
        <f t="shared" ref="O259:O322" si="28">(EXP(J$3+J$4*A259+J$5*B259+J$6*C259+J$7*D259+J$8*E259+J$9*F259+J$10*G259))/(1+(EXP(J$3+J$4*A259+J$5*B259+J$6*C259+J$7*D259+J$8*E259+J$9*F259+J$10*G259)))</f>
        <v>0.56397705229531747</v>
      </c>
      <c r="P259">
        <f t="shared" ref="P259:P322" si="29">IF(O259&lt;0.6, 0,1)</f>
        <v>0</v>
      </c>
    </row>
    <row r="260" spans="1:16">
      <c r="A260">
        <v>0</v>
      </c>
      <c r="B260">
        <v>180</v>
      </c>
      <c r="C260">
        <v>90</v>
      </c>
      <c r="D260">
        <v>26</v>
      </c>
      <c r="E260">
        <v>90</v>
      </c>
      <c r="F260">
        <v>36.5</v>
      </c>
      <c r="G260">
        <v>35</v>
      </c>
      <c r="H260">
        <v>1</v>
      </c>
      <c r="K260">
        <f t="shared" si="24"/>
        <v>0.72103186005677533</v>
      </c>
      <c r="L260">
        <f t="shared" si="25"/>
        <v>2.0565541923032011</v>
      </c>
      <c r="M260">
        <f t="shared" si="26"/>
        <v>0.67283419920440823</v>
      </c>
      <c r="N260">
        <f t="shared" si="27"/>
        <v>-0.39625634045531749</v>
      </c>
      <c r="O260">
        <f t="shared" si="28"/>
        <v>0.67283419920440823</v>
      </c>
      <c r="P260">
        <f t="shared" si="29"/>
        <v>1</v>
      </c>
    </row>
    <row r="261" spans="1:16">
      <c r="A261">
        <v>1</v>
      </c>
      <c r="B261">
        <v>130</v>
      </c>
      <c r="C261">
        <v>60</v>
      </c>
      <c r="D261">
        <v>23</v>
      </c>
      <c r="E261">
        <v>170</v>
      </c>
      <c r="F261">
        <v>28.6</v>
      </c>
      <c r="G261">
        <v>21</v>
      </c>
      <c r="H261">
        <v>0</v>
      </c>
      <c r="K261">
        <f t="shared" si="24"/>
        <v>0.23368031525709052</v>
      </c>
      <c r="L261">
        <f t="shared" si="25"/>
        <v>1.2632405889074585</v>
      </c>
      <c r="M261">
        <f t="shared" si="26"/>
        <v>0.44184432044086541</v>
      </c>
      <c r="N261">
        <f t="shared" si="27"/>
        <v>-0.81679767514426949</v>
      </c>
      <c r="O261">
        <f t="shared" si="28"/>
        <v>0.55815567955913459</v>
      </c>
      <c r="P261">
        <f t="shared" si="29"/>
        <v>0</v>
      </c>
    </row>
    <row r="262" spans="1:16">
      <c r="A262">
        <v>2</v>
      </c>
      <c r="B262">
        <v>84</v>
      </c>
      <c r="C262">
        <v>50</v>
      </c>
      <c r="D262">
        <v>23</v>
      </c>
      <c r="E262">
        <v>76</v>
      </c>
      <c r="F262">
        <v>30.4</v>
      </c>
      <c r="G262">
        <v>21</v>
      </c>
      <c r="H262">
        <v>0</v>
      </c>
      <c r="K262">
        <f t="shared" si="24"/>
        <v>-2.3589568375768422E-2</v>
      </c>
      <c r="L262">
        <f t="shared" si="25"/>
        <v>0.97668649052840451</v>
      </c>
      <c r="M262">
        <f t="shared" si="26"/>
        <v>0.50589711863345699</v>
      </c>
      <c r="N262">
        <f t="shared" si="27"/>
        <v>-0.6814219532263468</v>
      </c>
      <c r="O262">
        <f t="shared" si="28"/>
        <v>0.49410288136654301</v>
      </c>
      <c r="P262">
        <f t="shared" si="29"/>
        <v>0</v>
      </c>
    </row>
    <row r="263" spans="1:16">
      <c r="A263">
        <v>0</v>
      </c>
      <c r="B263">
        <v>139</v>
      </c>
      <c r="C263">
        <v>62</v>
      </c>
      <c r="D263">
        <v>17</v>
      </c>
      <c r="E263">
        <v>210</v>
      </c>
      <c r="F263">
        <v>22.1</v>
      </c>
      <c r="G263">
        <v>21</v>
      </c>
      <c r="H263">
        <v>0</v>
      </c>
      <c r="K263">
        <f t="shared" si="24"/>
        <v>0.19755040199881146</v>
      </c>
      <c r="L263">
        <f t="shared" si="25"/>
        <v>1.2184144739469265</v>
      </c>
      <c r="M263">
        <f t="shared" si="26"/>
        <v>0.45077239251005896</v>
      </c>
      <c r="N263">
        <f t="shared" si="27"/>
        <v>-0.79679273979640075</v>
      </c>
      <c r="O263">
        <f t="shared" si="28"/>
        <v>0.54922760748994104</v>
      </c>
      <c r="P263">
        <f t="shared" si="29"/>
        <v>0</v>
      </c>
    </row>
    <row r="264" spans="1:16">
      <c r="A264">
        <v>3</v>
      </c>
      <c r="B264">
        <v>99</v>
      </c>
      <c r="C264">
        <v>54</v>
      </c>
      <c r="D264">
        <v>19</v>
      </c>
      <c r="E264">
        <v>86</v>
      </c>
      <c r="F264">
        <v>25.6</v>
      </c>
      <c r="G264">
        <v>24</v>
      </c>
      <c r="H264">
        <v>0</v>
      </c>
      <c r="K264">
        <f t="shared" si="24"/>
        <v>4.6158763910690237E-2</v>
      </c>
      <c r="L264">
        <f t="shared" si="25"/>
        <v>1.0472406617821708</v>
      </c>
      <c r="M264">
        <f t="shared" si="26"/>
        <v>0.48846235748828704</v>
      </c>
      <c r="N264">
        <f t="shared" si="27"/>
        <v>-0.7164928678106679</v>
      </c>
      <c r="O264">
        <f t="shared" si="28"/>
        <v>0.51153764251171296</v>
      </c>
      <c r="P264">
        <f t="shared" si="29"/>
        <v>0</v>
      </c>
    </row>
    <row r="265" spans="1:16">
      <c r="A265">
        <v>3</v>
      </c>
      <c r="B265">
        <v>163</v>
      </c>
      <c r="C265">
        <v>70</v>
      </c>
      <c r="D265">
        <v>18</v>
      </c>
      <c r="E265">
        <v>105</v>
      </c>
      <c r="F265">
        <v>31.6</v>
      </c>
      <c r="G265">
        <v>28</v>
      </c>
      <c r="H265">
        <v>1</v>
      </c>
      <c r="K265">
        <f t="shared" si="24"/>
        <v>0.54054019103859985</v>
      </c>
      <c r="L265">
        <f t="shared" si="25"/>
        <v>1.7169340841299319</v>
      </c>
      <c r="M265">
        <f t="shared" si="26"/>
        <v>0.63193807098921984</v>
      </c>
      <c r="N265">
        <f t="shared" si="27"/>
        <v>-0.45896387857761745</v>
      </c>
      <c r="O265">
        <f t="shared" si="28"/>
        <v>0.63193807098921984</v>
      </c>
      <c r="P265">
        <f t="shared" si="29"/>
        <v>1</v>
      </c>
    </row>
    <row r="266" spans="1:16">
      <c r="A266">
        <v>9</v>
      </c>
      <c r="B266">
        <v>145</v>
      </c>
      <c r="C266">
        <v>88</v>
      </c>
      <c r="D266">
        <v>34</v>
      </c>
      <c r="E266">
        <v>165</v>
      </c>
      <c r="F266">
        <v>30.3</v>
      </c>
      <c r="G266">
        <v>53</v>
      </c>
      <c r="H266">
        <v>1</v>
      </c>
      <c r="K266">
        <f t="shared" si="24"/>
        <v>0.66217083854559788</v>
      </c>
      <c r="L266">
        <f t="shared" si="25"/>
        <v>1.9389970183730687</v>
      </c>
      <c r="M266">
        <f t="shared" si="26"/>
        <v>0.65974786849101097</v>
      </c>
      <c r="N266">
        <f t="shared" si="27"/>
        <v>-0.41589753438677829</v>
      </c>
      <c r="O266">
        <f t="shared" si="28"/>
        <v>0.65974786849101097</v>
      </c>
      <c r="P266">
        <f t="shared" si="29"/>
        <v>1</v>
      </c>
    </row>
    <row r="267" spans="1:16">
      <c r="A267">
        <v>6</v>
      </c>
      <c r="B267">
        <v>129</v>
      </c>
      <c r="C267">
        <v>90</v>
      </c>
      <c r="D267">
        <v>7</v>
      </c>
      <c r="E267">
        <v>326</v>
      </c>
      <c r="F267">
        <v>19.600000000000001</v>
      </c>
      <c r="G267">
        <v>60</v>
      </c>
      <c r="H267">
        <v>0</v>
      </c>
      <c r="K267">
        <f t="shared" si="24"/>
        <v>0.38484617724087905</v>
      </c>
      <c r="L267">
        <f t="shared" si="25"/>
        <v>1.4693882786970816</v>
      </c>
      <c r="M267">
        <f t="shared" si="26"/>
        <v>0.4049585918208165</v>
      </c>
      <c r="N267">
        <f t="shared" si="27"/>
        <v>-0.90397045952044719</v>
      </c>
      <c r="O267">
        <f t="shared" si="28"/>
        <v>0.5950414081791835</v>
      </c>
      <c r="P267">
        <f t="shared" si="29"/>
        <v>0</v>
      </c>
    </row>
    <row r="268" spans="1:16">
      <c r="A268">
        <v>2</v>
      </c>
      <c r="B268">
        <v>68</v>
      </c>
      <c r="C268">
        <v>70</v>
      </c>
      <c r="D268">
        <v>32</v>
      </c>
      <c r="E268">
        <v>66</v>
      </c>
      <c r="F268">
        <v>25</v>
      </c>
      <c r="G268">
        <v>25</v>
      </c>
      <c r="H268">
        <v>0</v>
      </c>
      <c r="K268">
        <f t="shared" si="24"/>
        <v>-0.14487153800569913</v>
      </c>
      <c r="L268">
        <f t="shared" si="25"/>
        <v>0.86513342273744287</v>
      </c>
      <c r="M268">
        <f t="shared" si="26"/>
        <v>0.53615467280207074</v>
      </c>
      <c r="N268">
        <f t="shared" si="27"/>
        <v>-0.62333259087868309</v>
      </c>
      <c r="O268">
        <f t="shared" si="28"/>
        <v>0.4638453271979292</v>
      </c>
      <c r="P268">
        <f t="shared" si="29"/>
        <v>0</v>
      </c>
    </row>
    <row r="269" spans="1:16">
      <c r="A269">
        <v>3</v>
      </c>
      <c r="B269">
        <v>124</v>
      </c>
      <c r="C269">
        <v>80</v>
      </c>
      <c r="D269">
        <v>33</v>
      </c>
      <c r="E269">
        <v>130</v>
      </c>
      <c r="F269">
        <v>33.200000000000003</v>
      </c>
      <c r="G269">
        <v>26</v>
      </c>
      <c r="H269">
        <v>0</v>
      </c>
      <c r="K269">
        <f t="shared" si="24"/>
        <v>0.31402904482394045</v>
      </c>
      <c r="L269">
        <f t="shared" si="25"/>
        <v>1.368929496286172</v>
      </c>
      <c r="M269">
        <f t="shared" si="26"/>
        <v>0.42213160061020139</v>
      </c>
      <c r="N269">
        <f t="shared" si="27"/>
        <v>-0.86243816377395621</v>
      </c>
      <c r="O269">
        <f t="shared" si="28"/>
        <v>0.57786839938979861</v>
      </c>
      <c r="P269">
        <f t="shared" si="29"/>
        <v>0</v>
      </c>
    </row>
    <row r="270" spans="1:16">
      <c r="A270">
        <v>1</v>
      </c>
      <c r="B270">
        <v>97</v>
      </c>
      <c r="C270">
        <v>64</v>
      </c>
      <c r="D270">
        <v>19</v>
      </c>
      <c r="E270">
        <v>82</v>
      </c>
      <c r="F270">
        <v>18.2</v>
      </c>
      <c r="G270">
        <v>21</v>
      </c>
      <c r="H270">
        <v>0</v>
      </c>
      <c r="K270">
        <f t="shared" si="24"/>
        <v>-8.8150898687753415E-2</v>
      </c>
      <c r="L270">
        <f t="shared" si="25"/>
        <v>0.91562270003433488</v>
      </c>
      <c r="M270">
        <f t="shared" si="26"/>
        <v>0.52202346525862131</v>
      </c>
      <c r="N270">
        <f t="shared" si="27"/>
        <v>-0.65004273950711344</v>
      </c>
      <c r="O270">
        <f t="shared" si="28"/>
        <v>0.47797653474137869</v>
      </c>
      <c r="P270">
        <f t="shared" si="29"/>
        <v>0</v>
      </c>
    </row>
    <row r="271" spans="1:16">
      <c r="A271">
        <v>3</v>
      </c>
      <c r="B271">
        <v>116</v>
      </c>
      <c r="C271">
        <v>74</v>
      </c>
      <c r="D271">
        <v>15</v>
      </c>
      <c r="E271">
        <v>105</v>
      </c>
      <c r="F271">
        <v>26.3</v>
      </c>
      <c r="G271">
        <v>24</v>
      </c>
      <c r="H271">
        <v>0</v>
      </c>
      <c r="K271">
        <f t="shared" si="24"/>
        <v>0.14614430054526523</v>
      </c>
      <c r="L271">
        <f t="shared" si="25"/>
        <v>1.1573631841402343</v>
      </c>
      <c r="M271">
        <f t="shared" si="26"/>
        <v>0.46352881487524145</v>
      </c>
      <c r="N271">
        <f t="shared" si="27"/>
        <v>-0.76888672789295476</v>
      </c>
      <c r="O271">
        <f t="shared" si="28"/>
        <v>0.53647118512475855</v>
      </c>
      <c r="P271">
        <f t="shared" si="29"/>
        <v>0</v>
      </c>
    </row>
    <row r="272" spans="1:16">
      <c r="A272">
        <v>0</v>
      </c>
      <c r="B272">
        <v>117</v>
      </c>
      <c r="C272">
        <v>66</v>
      </c>
      <c r="D272">
        <v>31</v>
      </c>
      <c r="E272">
        <v>188</v>
      </c>
      <c r="F272">
        <v>30.8</v>
      </c>
      <c r="G272">
        <v>22</v>
      </c>
      <c r="H272">
        <v>0</v>
      </c>
      <c r="K272">
        <f t="shared" si="24"/>
        <v>0.17813434414981444</v>
      </c>
      <c r="L272">
        <f t="shared" si="25"/>
        <v>1.1949858498095549</v>
      </c>
      <c r="M272">
        <f t="shared" si="26"/>
        <v>0.45558380255014574</v>
      </c>
      <c r="N272">
        <f t="shared" si="27"/>
        <v>-0.78617559995034403</v>
      </c>
      <c r="O272">
        <f t="shared" si="28"/>
        <v>0.54441619744985426</v>
      </c>
      <c r="P272">
        <f t="shared" si="29"/>
        <v>0</v>
      </c>
    </row>
    <row r="273" spans="1:16">
      <c r="A273">
        <v>2</v>
      </c>
      <c r="B273">
        <v>122</v>
      </c>
      <c r="C273">
        <v>60</v>
      </c>
      <c r="D273">
        <v>18</v>
      </c>
      <c r="E273">
        <v>106</v>
      </c>
      <c r="F273">
        <v>29.8</v>
      </c>
      <c r="G273">
        <v>22</v>
      </c>
      <c r="H273">
        <v>0</v>
      </c>
      <c r="K273">
        <f t="shared" si="24"/>
        <v>0.20771433360868571</v>
      </c>
      <c r="L273">
        <f t="shared" si="25"/>
        <v>1.2308615035577528</v>
      </c>
      <c r="M273">
        <f t="shared" si="26"/>
        <v>0.44825732050385525</v>
      </c>
      <c r="N273">
        <f t="shared" si="27"/>
        <v>-0.80238783533330471</v>
      </c>
      <c r="O273">
        <f t="shared" si="28"/>
        <v>0.55174267949614475</v>
      </c>
      <c r="P273">
        <f t="shared" si="29"/>
        <v>0</v>
      </c>
    </row>
    <row r="274" spans="1:16">
      <c r="A274">
        <v>1</v>
      </c>
      <c r="B274">
        <v>86</v>
      </c>
      <c r="C274">
        <v>66</v>
      </c>
      <c r="D274">
        <v>52</v>
      </c>
      <c r="E274">
        <v>65</v>
      </c>
      <c r="F274">
        <v>41.3</v>
      </c>
      <c r="G274">
        <v>29</v>
      </c>
      <c r="H274">
        <v>0</v>
      </c>
      <c r="K274">
        <f t="shared" si="24"/>
        <v>0.19503272332571525</v>
      </c>
      <c r="L274">
        <f t="shared" si="25"/>
        <v>1.2153507561576813</v>
      </c>
      <c r="M274">
        <f t="shared" si="26"/>
        <v>0.45139578787713353</v>
      </c>
      <c r="N274">
        <f t="shared" si="27"/>
        <v>-0.79541074588474248</v>
      </c>
      <c r="O274">
        <f t="shared" si="28"/>
        <v>0.54860421212286647</v>
      </c>
      <c r="P274">
        <f t="shared" si="29"/>
        <v>0</v>
      </c>
    </row>
    <row r="275" spans="1:16">
      <c r="A275">
        <v>1</v>
      </c>
      <c r="B275">
        <v>77</v>
      </c>
      <c r="C275">
        <v>56</v>
      </c>
      <c r="D275">
        <v>30</v>
      </c>
      <c r="E275">
        <v>56</v>
      </c>
      <c r="F275">
        <v>33.299999999999997</v>
      </c>
      <c r="G275">
        <v>24</v>
      </c>
      <c r="H275">
        <v>0</v>
      </c>
      <c r="K275">
        <f t="shared" si="24"/>
        <v>-1.8252678680033885E-2</v>
      </c>
      <c r="L275">
        <f t="shared" si="25"/>
        <v>0.98191289255620273</v>
      </c>
      <c r="M275">
        <f t="shared" si="26"/>
        <v>0.5045630429853224</v>
      </c>
      <c r="N275">
        <f t="shared" si="27"/>
        <v>-0.68406248567671279</v>
      </c>
      <c r="O275">
        <f t="shared" si="28"/>
        <v>0.4954369570146776</v>
      </c>
      <c r="P275">
        <f t="shared" si="29"/>
        <v>0</v>
      </c>
    </row>
    <row r="276" spans="1:16">
      <c r="A276">
        <v>0</v>
      </c>
      <c r="B276">
        <v>127</v>
      </c>
      <c r="C276">
        <v>80</v>
      </c>
      <c r="D276">
        <v>37</v>
      </c>
      <c r="E276">
        <v>210</v>
      </c>
      <c r="F276">
        <v>36.299999999999997</v>
      </c>
      <c r="G276">
        <v>23</v>
      </c>
      <c r="H276">
        <v>0</v>
      </c>
      <c r="K276">
        <f t="shared" si="24"/>
        <v>0.31037795824845804</v>
      </c>
      <c r="L276">
        <f t="shared" si="25"/>
        <v>1.3639405292967897</v>
      </c>
      <c r="M276">
        <f t="shared" si="26"/>
        <v>0.42302248622873517</v>
      </c>
      <c r="N276">
        <f t="shared" si="27"/>
        <v>-0.86032994241556504</v>
      </c>
      <c r="O276">
        <f t="shared" si="28"/>
        <v>0.57697751377126483</v>
      </c>
      <c r="P276">
        <f t="shared" si="29"/>
        <v>0</v>
      </c>
    </row>
    <row r="277" spans="1:16">
      <c r="A277">
        <v>3</v>
      </c>
      <c r="B277">
        <v>129</v>
      </c>
      <c r="C277">
        <v>92</v>
      </c>
      <c r="D277">
        <v>49</v>
      </c>
      <c r="E277">
        <v>155</v>
      </c>
      <c r="F277">
        <v>36.4</v>
      </c>
      <c r="G277">
        <v>32</v>
      </c>
      <c r="H277">
        <v>1</v>
      </c>
      <c r="K277">
        <f t="shared" si="24"/>
        <v>0.44407145423780375</v>
      </c>
      <c r="L277">
        <f t="shared" si="25"/>
        <v>1.5590418817913712</v>
      </c>
      <c r="M277">
        <f t="shared" si="26"/>
        <v>0.60922874802659199</v>
      </c>
      <c r="N277">
        <f t="shared" si="27"/>
        <v>-0.49556146927382483</v>
      </c>
      <c r="O277">
        <f t="shared" si="28"/>
        <v>0.60922874802659199</v>
      </c>
      <c r="P277">
        <f t="shared" si="29"/>
        <v>1</v>
      </c>
    </row>
    <row r="278" spans="1:16">
      <c r="A278">
        <v>8</v>
      </c>
      <c r="B278">
        <v>100</v>
      </c>
      <c r="C278">
        <v>74</v>
      </c>
      <c r="D278">
        <v>40</v>
      </c>
      <c r="E278">
        <v>215</v>
      </c>
      <c r="F278">
        <v>39.4</v>
      </c>
      <c r="G278">
        <v>43</v>
      </c>
      <c r="H278">
        <v>1</v>
      </c>
      <c r="K278">
        <f t="shared" si="24"/>
        <v>0.39677705185365419</v>
      </c>
      <c r="L278">
        <f t="shared" si="25"/>
        <v>1.4870243637661631</v>
      </c>
      <c r="M278">
        <f t="shared" si="26"/>
        <v>0.59791306648654019</v>
      </c>
      <c r="N278">
        <f t="shared" si="27"/>
        <v>-0.51430990936762322</v>
      </c>
      <c r="O278">
        <f t="shared" si="28"/>
        <v>0.59791306648654019</v>
      </c>
      <c r="P278">
        <f t="shared" si="29"/>
        <v>0</v>
      </c>
    </row>
    <row r="279" spans="1:16">
      <c r="A279">
        <v>3</v>
      </c>
      <c r="B279">
        <v>128</v>
      </c>
      <c r="C279">
        <v>72</v>
      </c>
      <c r="D279">
        <v>25</v>
      </c>
      <c r="E279">
        <v>190</v>
      </c>
      <c r="F279">
        <v>32.4</v>
      </c>
      <c r="G279">
        <v>27</v>
      </c>
      <c r="H279">
        <v>1</v>
      </c>
      <c r="K279">
        <f t="shared" si="24"/>
        <v>0.31872046222411599</v>
      </c>
      <c r="L279">
        <f t="shared" si="25"/>
        <v>1.3753668041870428</v>
      </c>
      <c r="M279">
        <f t="shared" si="26"/>
        <v>0.57901238737642258</v>
      </c>
      <c r="N279">
        <f t="shared" si="27"/>
        <v>-0.54643140720549066</v>
      </c>
      <c r="O279">
        <f t="shared" si="28"/>
        <v>0.57901238737642258</v>
      </c>
      <c r="P279">
        <f t="shared" si="29"/>
        <v>0</v>
      </c>
    </row>
    <row r="280" spans="1:16">
      <c r="A280">
        <v>4</v>
      </c>
      <c r="B280">
        <v>84</v>
      </c>
      <c r="C280">
        <v>90</v>
      </c>
      <c r="D280">
        <v>23</v>
      </c>
      <c r="E280">
        <v>56</v>
      </c>
      <c r="F280">
        <v>39.5</v>
      </c>
      <c r="G280">
        <v>25</v>
      </c>
      <c r="H280">
        <v>0</v>
      </c>
      <c r="K280">
        <f t="shared" si="24"/>
        <v>0.10398946071335397</v>
      </c>
      <c r="L280">
        <f t="shared" si="25"/>
        <v>1.1095887605799506</v>
      </c>
      <c r="M280">
        <f t="shared" si="26"/>
        <v>0.4740260370580891</v>
      </c>
      <c r="N280">
        <f t="shared" si="27"/>
        <v>-0.74649302829338771</v>
      </c>
      <c r="O280">
        <f t="shared" si="28"/>
        <v>0.5259739629419109</v>
      </c>
      <c r="P280">
        <f t="shared" si="29"/>
        <v>0</v>
      </c>
    </row>
    <row r="281" spans="1:16">
      <c r="A281">
        <v>1</v>
      </c>
      <c r="B281">
        <v>88</v>
      </c>
      <c r="C281">
        <v>78</v>
      </c>
      <c r="D281">
        <v>29</v>
      </c>
      <c r="E281">
        <v>76</v>
      </c>
      <c r="F281">
        <v>32</v>
      </c>
      <c r="G281">
        <v>29</v>
      </c>
      <c r="H281">
        <v>0</v>
      </c>
      <c r="K281">
        <f t="shared" si="24"/>
        <v>5.9879816209602699E-2</v>
      </c>
      <c r="L281">
        <f t="shared" si="25"/>
        <v>1.0617089386727658</v>
      </c>
      <c r="M281">
        <f t="shared" si="26"/>
        <v>0.48503451735711745</v>
      </c>
      <c r="N281">
        <f t="shared" si="27"/>
        <v>-0.72353522076861498</v>
      </c>
      <c r="O281">
        <f t="shared" si="28"/>
        <v>0.51496548264288255</v>
      </c>
      <c r="P281">
        <f t="shared" si="29"/>
        <v>0</v>
      </c>
    </row>
    <row r="282" spans="1:16">
      <c r="A282">
        <v>8</v>
      </c>
      <c r="B282">
        <v>186</v>
      </c>
      <c r="C282">
        <v>90</v>
      </c>
      <c r="D282">
        <v>35</v>
      </c>
      <c r="E282">
        <v>225</v>
      </c>
      <c r="F282">
        <v>34.5</v>
      </c>
      <c r="G282">
        <v>37</v>
      </c>
      <c r="H282">
        <v>1</v>
      </c>
      <c r="K282">
        <f t="shared" si="24"/>
        <v>0.85322084977267776</v>
      </c>
      <c r="L282">
        <f t="shared" si="25"/>
        <v>2.3471946515965976</v>
      </c>
      <c r="M282">
        <f t="shared" si="26"/>
        <v>0.70124235245087874</v>
      </c>
      <c r="N282">
        <f t="shared" si="27"/>
        <v>-0.35490172780059226</v>
      </c>
      <c r="O282">
        <f t="shared" si="28"/>
        <v>0.70124235245087874</v>
      </c>
      <c r="P282">
        <f t="shared" si="29"/>
        <v>1</v>
      </c>
    </row>
    <row r="283" spans="1:16">
      <c r="A283">
        <v>5</v>
      </c>
      <c r="B283">
        <v>187</v>
      </c>
      <c r="C283">
        <v>76</v>
      </c>
      <c r="D283">
        <v>27</v>
      </c>
      <c r="E283">
        <v>207</v>
      </c>
      <c r="F283">
        <v>43.6</v>
      </c>
      <c r="G283">
        <v>53</v>
      </c>
      <c r="H283">
        <v>1</v>
      </c>
      <c r="K283">
        <f t="shared" si="24"/>
        <v>1.0092218625360649</v>
      </c>
      <c r="L283">
        <f t="shared" si="25"/>
        <v>2.7434653910183946</v>
      </c>
      <c r="M283">
        <f t="shared" si="26"/>
        <v>0.7328678388748362</v>
      </c>
      <c r="N283">
        <f t="shared" si="27"/>
        <v>-0.31078989502322363</v>
      </c>
      <c r="O283">
        <f t="shared" si="28"/>
        <v>0.7328678388748362</v>
      </c>
      <c r="P283">
        <f t="shared" si="29"/>
        <v>1</v>
      </c>
    </row>
    <row r="284" spans="1:16">
      <c r="A284">
        <v>4</v>
      </c>
      <c r="B284">
        <v>131</v>
      </c>
      <c r="C284">
        <v>68</v>
      </c>
      <c r="D284">
        <v>21</v>
      </c>
      <c r="E284">
        <v>166</v>
      </c>
      <c r="F284">
        <v>33.1</v>
      </c>
      <c r="G284">
        <v>28</v>
      </c>
      <c r="H284">
        <v>0</v>
      </c>
      <c r="K284">
        <f t="shared" si="24"/>
        <v>0.35926161336677337</v>
      </c>
      <c r="L284">
        <f t="shared" si="25"/>
        <v>1.4322714539196841</v>
      </c>
      <c r="M284">
        <f t="shared" si="26"/>
        <v>0.41113832026785813</v>
      </c>
      <c r="N284">
        <f t="shared" si="27"/>
        <v>-0.88882557544080321</v>
      </c>
      <c r="O284">
        <f t="shared" si="28"/>
        <v>0.58886167973214187</v>
      </c>
      <c r="P284">
        <f t="shared" si="29"/>
        <v>0</v>
      </c>
    </row>
    <row r="285" spans="1:16">
      <c r="A285">
        <v>1</v>
      </c>
      <c r="B285">
        <v>164</v>
      </c>
      <c r="C285">
        <v>82</v>
      </c>
      <c r="D285">
        <v>43</v>
      </c>
      <c r="E285">
        <v>67</v>
      </c>
      <c r="F285">
        <v>32.799999999999997</v>
      </c>
      <c r="G285">
        <v>50</v>
      </c>
      <c r="H285">
        <v>0</v>
      </c>
      <c r="K285">
        <f t="shared" si="24"/>
        <v>0.72865688672288786</v>
      </c>
      <c r="L285">
        <f t="shared" si="25"/>
        <v>2.0722954101954314</v>
      </c>
      <c r="M285">
        <f t="shared" si="26"/>
        <v>0.32548953355250076</v>
      </c>
      <c r="N285">
        <f t="shared" si="27"/>
        <v>-1.1224249728351323</v>
      </c>
      <c r="O285">
        <f t="shared" si="28"/>
        <v>0.67451046644749924</v>
      </c>
      <c r="P285">
        <f t="shared" si="29"/>
        <v>1</v>
      </c>
    </row>
    <row r="286" spans="1:16">
      <c r="A286">
        <v>3</v>
      </c>
      <c r="B286">
        <v>84</v>
      </c>
      <c r="C286">
        <v>68</v>
      </c>
      <c r="D286">
        <v>30</v>
      </c>
      <c r="E286">
        <v>106</v>
      </c>
      <c r="F286">
        <v>31.9</v>
      </c>
      <c r="G286">
        <v>25</v>
      </c>
      <c r="H286">
        <v>0</v>
      </c>
      <c r="K286">
        <f t="shared" si="24"/>
        <v>3.3770235635145807E-2</v>
      </c>
      <c r="L286">
        <f t="shared" si="25"/>
        <v>1.0343469233596949</v>
      </c>
      <c r="M286">
        <f t="shared" si="26"/>
        <v>0.49155824334450993</v>
      </c>
      <c r="N286">
        <f t="shared" si="27"/>
        <v>-0.71017484520604679</v>
      </c>
      <c r="O286">
        <f t="shared" si="28"/>
        <v>0.50844175665549007</v>
      </c>
      <c r="P286">
        <f t="shared" si="29"/>
        <v>0</v>
      </c>
    </row>
    <row r="287" spans="1:16">
      <c r="A287">
        <v>1</v>
      </c>
      <c r="B287">
        <v>88</v>
      </c>
      <c r="C287">
        <v>62</v>
      </c>
      <c r="D287">
        <v>24</v>
      </c>
      <c r="E287">
        <v>44</v>
      </c>
      <c r="F287">
        <v>29.9</v>
      </c>
      <c r="G287">
        <v>23</v>
      </c>
      <c r="H287">
        <v>0</v>
      </c>
      <c r="K287">
        <f t="shared" si="24"/>
        <v>-8.7524750858658518E-4</v>
      </c>
      <c r="L287">
        <f t="shared" si="25"/>
        <v>0.99912513540879011</v>
      </c>
      <c r="M287">
        <f t="shared" si="26"/>
        <v>0.50021881186317807</v>
      </c>
      <c r="N287">
        <f t="shared" si="27"/>
        <v>-0.69270965256292416</v>
      </c>
      <c r="O287">
        <f t="shared" si="28"/>
        <v>0.49978118813682187</v>
      </c>
      <c r="P287">
        <f t="shared" si="29"/>
        <v>0</v>
      </c>
    </row>
    <row r="288" spans="1:16">
      <c r="A288">
        <v>1</v>
      </c>
      <c r="B288">
        <v>84</v>
      </c>
      <c r="C288">
        <v>64</v>
      </c>
      <c r="D288">
        <v>23</v>
      </c>
      <c r="E288">
        <v>115</v>
      </c>
      <c r="F288">
        <v>36.9</v>
      </c>
      <c r="G288">
        <v>28</v>
      </c>
      <c r="H288">
        <v>0</v>
      </c>
      <c r="K288">
        <f t="shared" si="24"/>
        <v>6.5652691987318268E-2</v>
      </c>
      <c r="L288">
        <f t="shared" si="25"/>
        <v>1.0678557778865816</v>
      </c>
      <c r="M288">
        <f t="shared" si="26"/>
        <v>0.48359271990527009</v>
      </c>
      <c r="N288">
        <f t="shared" si="27"/>
        <v>-0.72651221431413715</v>
      </c>
      <c r="O288">
        <f t="shared" si="28"/>
        <v>0.51640728009472991</v>
      </c>
      <c r="P288">
        <f t="shared" si="29"/>
        <v>0</v>
      </c>
    </row>
    <row r="289" spans="1:16">
      <c r="A289">
        <v>7</v>
      </c>
      <c r="B289">
        <v>124</v>
      </c>
      <c r="C289">
        <v>70</v>
      </c>
      <c r="D289">
        <v>33</v>
      </c>
      <c r="E289">
        <v>215</v>
      </c>
      <c r="F289">
        <v>25.5</v>
      </c>
      <c r="G289">
        <v>37</v>
      </c>
      <c r="H289">
        <v>0</v>
      </c>
      <c r="K289">
        <f t="shared" si="24"/>
        <v>0.34979295678923938</v>
      </c>
      <c r="L289">
        <f t="shared" si="25"/>
        <v>1.4187737707051185</v>
      </c>
      <c r="M289">
        <f t="shared" si="26"/>
        <v>0.4134326294221724</v>
      </c>
      <c r="N289">
        <f t="shared" si="27"/>
        <v>-0.88326070542936641</v>
      </c>
      <c r="O289">
        <f t="shared" si="28"/>
        <v>0.5865673705778276</v>
      </c>
      <c r="P289">
        <f t="shared" si="29"/>
        <v>0</v>
      </c>
    </row>
    <row r="290" spans="1:16">
      <c r="A290">
        <v>0</v>
      </c>
      <c r="B290">
        <v>198</v>
      </c>
      <c r="C290">
        <v>66</v>
      </c>
      <c r="D290">
        <v>32</v>
      </c>
      <c r="E290">
        <v>274</v>
      </c>
      <c r="F290">
        <v>41.3</v>
      </c>
      <c r="G290">
        <v>28</v>
      </c>
      <c r="H290">
        <v>1</v>
      </c>
      <c r="K290">
        <f t="shared" si="24"/>
        <v>0.84566069726735404</v>
      </c>
      <c r="L290">
        <f t="shared" si="25"/>
        <v>2.329516411368163</v>
      </c>
      <c r="M290">
        <f t="shared" si="26"/>
        <v>0.69965608321207207</v>
      </c>
      <c r="N290">
        <f t="shared" si="27"/>
        <v>-0.3571663743679277</v>
      </c>
      <c r="O290">
        <f t="shared" si="28"/>
        <v>0.69965608321207207</v>
      </c>
      <c r="P290">
        <f t="shared" si="29"/>
        <v>1</v>
      </c>
    </row>
    <row r="291" spans="1:16">
      <c r="A291">
        <v>1</v>
      </c>
      <c r="B291">
        <v>87</v>
      </c>
      <c r="C291">
        <v>68</v>
      </c>
      <c r="D291">
        <v>34</v>
      </c>
      <c r="E291">
        <v>77</v>
      </c>
      <c r="F291">
        <v>37.6</v>
      </c>
      <c r="G291">
        <v>24</v>
      </c>
      <c r="H291">
        <v>0</v>
      </c>
      <c r="K291">
        <f t="shared" si="24"/>
        <v>9.2123218286060793E-2</v>
      </c>
      <c r="L291">
        <f t="shared" si="25"/>
        <v>1.0964999225983474</v>
      </c>
      <c r="M291">
        <f t="shared" si="26"/>
        <v>0.47698546955376286</v>
      </c>
      <c r="N291">
        <f t="shared" si="27"/>
        <v>-0.74026925070921712</v>
      </c>
      <c r="O291">
        <f t="shared" si="28"/>
        <v>0.52301453044623714</v>
      </c>
      <c r="P291">
        <f t="shared" si="29"/>
        <v>0</v>
      </c>
    </row>
    <row r="292" spans="1:16">
      <c r="A292">
        <v>6</v>
      </c>
      <c r="B292">
        <v>99</v>
      </c>
      <c r="C292">
        <v>60</v>
      </c>
      <c r="D292">
        <v>19</v>
      </c>
      <c r="E292">
        <v>54</v>
      </c>
      <c r="F292">
        <v>26.9</v>
      </c>
      <c r="G292">
        <v>32</v>
      </c>
      <c r="H292">
        <v>0</v>
      </c>
      <c r="K292">
        <f t="shared" si="24"/>
        <v>0.1471719763170598</v>
      </c>
      <c r="L292">
        <f t="shared" si="25"/>
        <v>1.1585531896089045</v>
      </c>
      <c r="M292">
        <f t="shared" si="26"/>
        <v>0.46327327249285155</v>
      </c>
      <c r="N292">
        <f t="shared" si="27"/>
        <v>-0.7694381776411775</v>
      </c>
      <c r="O292">
        <f t="shared" si="28"/>
        <v>0.53672672750714845</v>
      </c>
      <c r="P292">
        <f t="shared" si="29"/>
        <v>0</v>
      </c>
    </row>
    <row r="293" spans="1:16">
      <c r="A293">
        <v>2</v>
      </c>
      <c r="B293">
        <v>95</v>
      </c>
      <c r="C293">
        <v>54</v>
      </c>
      <c r="D293">
        <v>14</v>
      </c>
      <c r="E293">
        <v>88</v>
      </c>
      <c r="F293">
        <v>26.1</v>
      </c>
      <c r="G293">
        <v>22</v>
      </c>
      <c r="H293">
        <v>0</v>
      </c>
      <c r="K293">
        <f t="shared" si="24"/>
        <v>-1.0422207097697589E-2</v>
      </c>
      <c r="L293">
        <f t="shared" si="25"/>
        <v>0.98963191591243138</v>
      </c>
      <c r="M293">
        <f t="shared" si="26"/>
        <v>0.50260552818957316</v>
      </c>
      <c r="N293">
        <f t="shared" si="27"/>
        <v>-0.68794965474974312</v>
      </c>
      <c r="O293">
        <f t="shared" si="28"/>
        <v>0.49739447181042684</v>
      </c>
      <c r="P293">
        <f t="shared" si="29"/>
        <v>0</v>
      </c>
    </row>
    <row r="294" spans="1:16">
      <c r="A294">
        <v>1</v>
      </c>
      <c r="B294">
        <v>99</v>
      </c>
      <c r="C294">
        <v>72</v>
      </c>
      <c r="D294">
        <v>30</v>
      </c>
      <c r="E294">
        <v>18</v>
      </c>
      <c r="F294">
        <v>38.6</v>
      </c>
      <c r="G294">
        <v>21</v>
      </c>
      <c r="H294">
        <v>0</v>
      </c>
      <c r="K294">
        <f t="shared" si="24"/>
        <v>0.15736725356201947</v>
      </c>
      <c r="L294">
        <f t="shared" si="25"/>
        <v>1.1704253778690095</v>
      </c>
      <c r="M294">
        <f t="shared" si="26"/>
        <v>0.46073917592220148</v>
      </c>
      <c r="N294">
        <f t="shared" si="27"/>
        <v>-0.77492317500939756</v>
      </c>
      <c r="O294">
        <f t="shared" si="28"/>
        <v>0.53926082407779852</v>
      </c>
      <c r="P294">
        <f t="shared" si="29"/>
        <v>0</v>
      </c>
    </row>
    <row r="295" spans="1:16">
      <c r="A295">
        <v>6</v>
      </c>
      <c r="B295">
        <v>92</v>
      </c>
      <c r="C295">
        <v>62</v>
      </c>
      <c r="D295">
        <v>32</v>
      </c>
      <c r="E295">
        <v>126</v>
      </c>
      <c r="F295">
        <v>32</v>
      </c>
      <c r="G295">
        <v>46</v>
      </c>
      <c r="H295">
        <v>0</v>
      </c>
      <c r="K295">
        <f t="shared" si="24"/>
        <v>0.26216535706044264</v>
      </c>
      <c r="L295">
        <f t="shared" si="25"/>
        <v>1.2997414460858339</v>
      </c>
      <c r="M295">
        <f t="shared" si="26"/>
        <v>0.43483149016686329</v>
      </c>
      <c r="N295">
        <f t="shared" si="27"/>
        <v>-0.83279670187080312</v>
      </c>
      <c r="O295">
        <f t="shared" si="28"/>
        <v>0.56516850983313671</v>
      </c>
      <c r="P295">
        <f t="shared" si="29"/>
        <v>0</v>
      </c>
    </row>
    <row r="296" spans="1:16">
      <c r="A296">
        <v>4</v>
      </c>
      <c r="B296">
        <v>154</v>
      </c>
      <c r="C296">
        <v>72</v>
      </c>
      <c r="D296">
        <v>29</v>
      </c>
      <c r="E296">
        <v>126</v>
      </c>
      <c r="F296">
        <v>31.3</v>
      </c>
      <c r="G296">
        <v>37</v>
      </c>
      <c r="H296">
        <v>0</v>
      </c>
      <c r="K296">
        <f t="shared" si="24"/>
        <v>0.56865362181480517</v>
      </c>
      <c r="L296">
        <f t="shared" si="25"/>
        <v>1.7658878972301433</v>
      </c>
      <c r="M296">
        <f t="shared" si="26"/>
        <v>0.36154755259655857</v>
      </c>
      <c r="N296">
        <f t="shared" si="27"/>
        <v>-1.0173617035818232</v>
      </c>
      <c r="O296">
        <f t="shared" si="28"/>
        <v>0.63845244740344143</v>
      </c>
      <c r="P296">
        <f t="shared" si="29"/>
        <v>1</v>
      </c>
    </row>
    <row r="297" spans="1:16">
      <c r="A297">
        <v>0</v>
      </c>
      <c r="B297">
        <v>121</v>
      </c>
      <c r="C297">
        <v>66</v>
      </c>
      <c r="D297">
        <v>30</v>
      </c>
      <c r="E297">
        <v>165</v>
      </c>
      <c r="F297">
        <v>34.299999999999997</v>
      </c>
      <c r="G297">
        <v>33</v>
      </c>
      <c r="H297">
        <v>1</v>
      </c>
      <c r="K297">
        <f t="shared" si="24"/>
        <v>0.31049807834551296</v>
      </c>
      <c r="L297">
        <f t="shared" si="25"/>
        <v>1.3641043758059781</v>
      </c>
      <c r="M297">
        <f t="shared" si="26"/>
        <v>0.57700683174824852</v>
      </c>
      <c r="N297">
        <f t="shared" si="27"/>
        <v>-0.54990117242584946</v>
      </c>
      <c r="O297">
        <f t="shared" si="28"/>
        <v>0.57700683174824852</v>
      </c>
      <c r="P297">
        <f t="shared" si="29"/>
        <v>0</v>
      </c>
    </row>
    <row r="298" spans="1:16">
      <c r="A298">
        <v>3</v>
      </c>
      <c r="B298">
        <v>111</v>
      </c>
      <c r="C298">
        <v>58</v>
      </c>
      <c r="D298">
        <v>31</v>
      </c>
      <c r="E298">
        <v>44</v>
      </c>
      <c r="F298">
        <v>29.5</v>
      </c>
      <c r="G298">
        <v>22</v>
      </c>
      <c r="H298">
        <v>0</v>
      </c>
      <c r="K298">
        <f t="shared" si="24"/>
        <v>0.1791353218265781</v>
      </c>
      <c r="L298">
        <f t="shared" si="25"/>
        <v>1.1961826028308675</v>
      </c>
      <c r="M298">
        <f t="shared" si="26"/>
        <v>0.45533554391652376</v>
      </c>
      <c r="N298">
        <f t="shared" si="27"/>
        <v>-0.78672067266338164</v>
      </c>
      <c r="O298">
        <f t="shared" si="28"/>
        <v>0.54466445608347624</v>
      </c>
      <c r="P298">
        <f t="shared" si="29"/>
        <v>0</v>
      </c>
    </row>
    <row r="299" spans="1:16">
      <c r="A299">
        <v>2</v>
      </c>
      <c r="B299">
        <v>98</v>
      </c>
      <c r="C299">
        <v>60</v>
      </c>
      <c r="D299">
        <v>17</v>
      </c>
      <c r="E299">
        <v>120</v>
      </c>
      <c r="F299">
        <v>34.700000000000003</v>
      </c>
      <c r="G299">
        <v>22</v>
      </c>
      <c r="H299">
        <v>0</v>
      </c>
      <c r="K299">
        <f t="shared" si="24"/>
        <v>9.6719944255023782E-2</v>
      </c>
      <c r="L299">
        <f t="shared" si="25"/>
        <v>1.1015518344993098</v>
      </c>
      <c r="M299">
        <f t="shared" si="26"/>
        <v>0.47583884612498639</v>
      </c>
      <c r="N299">
        <f t="shared" si="27"/>
        <v>-0.74267604063555825</v>
      </c>
      <c r="O299">
        <f t="shared" si="28"/>
        <v>0.52416115387501361</v>
      </c>
      <c r="P299">
        <f t="shared" si="29"/>
        <v>0</v>
      </c>
    </row>
    <row r="300" spans="1:16">
      <c r="A300">
        <v>1</v>
      </c>
      <c r="B300">
        <v>143</v>
      </c>
      <c r="C300">
        <v>86</v>
      </c>
      <c r="D300">
        <v>30</v>
      </c>
      <c r="E300">
        <v>330</v>
      </c>
      <c r="F300">
        <v>30.1</v>
      </c>
      <c r="G300">
        <v>23</v>
      </c>
      <c r="H300">
        <v>0</v>
      </c>
      <c r="K300">
        <f t="shared" si="24"/>
        <v>0.33500229246763608</v>
      </c>
      <c r="L300">
        <f t="shared" si="25"/>
        <v>1.3979435899592307</v>
      </c>
      <c r="M300">
        <f t="shared" si="26"/>
        <v>0.41702398846546751</v>
      </c>
      <c r="N300">
        <f t="shared" si="27"/>
        <v>-0.87461153254182433</v>
      </c>
      <c r="O300">
        <f t="shared" si="28"/>
        <v>0.58297601153453249</v>
      </c>
      <c r="P300">
        <f t="shared" si="29"/>
        <v>0</v>
      </c>
    </row>
    <row r="301" spans="1:16">
      <c r="A301">
        <v>1</v>
      </c>
      <c r="B301">
        <v>119</v>
      </c>
      <c r="C301">
        <v>44</v>
      </c>
      <c r="D301">
        <v>47</v>
      </c>
      <c r="E301">
        <v>63</v>
      </c>
      <c r="F301">
        <v>35.5</v>
      </c>
      <c r="G301">
        <v>25</v>
      </c>
      <c r="H301">
        <v>0</v>
      </c>
      <c r="K301">
        <f t="shared" si="24"/>
        <v>0.32486984688025017</v>
      </c>
      <c r="L301">
        <f t="shared" si="25"/>
        <v>1.3838505217964643</v>
      </c>
      <c r="M301">
        <f t="shared" si="26"/>
        <v>0.41948938948000913</v>
      </c>
      <c r="N301">
        <f t="shared" si="27"/>
        <v>-0.86871704664860783</v>
      </c>
      <c r="O301">
        <f t="shared" si="28"/>
        <v>0.58051061051999087</v>
      </c>
      <c r="P301">
        <f t="shared" si="29"/>
        <v>0</v>
      </c>
    </row>
    <row r="302" spans="1:16">
      <c r="A302">
        <v>6</v>
      </c>
      <c r="B302">
        <v>108</v>
      </c>
      <c r="C302">
        <v>44</v>
      </c>
      <c r="D302">
        <v>20</v>
      </c>
      <c r="E302">
        <v>130</v>
      </c>
      <c r="F302">
        <v>24</v>
      </c>
      <c r="G302">
        <v>35</v>
      </c>
      <c r="H302">
        <v>0</v>
      </c>
      <c r="K302">
        <f t="shared" si="24"/>
        <v>0.19672519033886673</v>
      </c>
      <c r="L302">
        <f t="shared" si="25"/>
        <v>1.2174094388567511</v>
      </c>
      <c r="M302">
        <f t="shared" si="26"/>
        <v>0.45097670393050115</v>
      </c>
      <c r="N302">
        <f t="shared" si="27"/>
        <v>-0.79633959506968077</v>
      </c>
      <c r="O302">
        <f t="shared" si="28"/>
        <v>0.54902329606949885</v>
      </c>
      <c r="P302">
        <f t="shared" si="29"/>
        <v>0</v>
      </c>
    </row>
    <row r="303" spans="1:16">
      <c r="A303">
        <v>8</v>
      </c>
      <c r="B303">
        <v>124</v>
      </c>
      <c r="C303">
        <v>76</v>
      </c>
      <c r="D303">
        <v>24</v>
      </c>
      <c r="E303">
        <v>600</v>
      </c>
      <c r="F303">
        <v>28.7</v>
      </c>
      <c r="G303">
        <v>52</v>
      </c>
      <c r="H303">
        <v>1</v>
      </c>
      <c r="K303">
        <f t="shared" si="24"/>
        <v>0.42997310070419525</v>
      </c>
      <c r="L303">
        <f t="shared" si="25"/>
        <v>1.5372161729595808</v>
      </c>
      <c r="M303">
        <f t="shared" si="26"/>
        <v>0.60586724511000878</v>
      </c>
      <c r="N303">
        <f t="shared" si="27"/>
        <v>-0.50109438438683995</v>
      </c>
      <c r="O303">
        <f t="shared" si="28"/>
        <v>0.60586724511000878</v>
      </c>
      <c r="P303">
        <f t="shared" si="29"/>
        <v>1</v>
      </c>
    </row>
    <row r="304" spans="1:16">
      <c r="A304">
        <v>3</v>
      </c>
      <c r="B304">
        <v>176</v>
      </c>
      <c r="C304">
        <v>86</v>
      </c>
      <c r="D304">
        <v>27</v>
      </c>
      <c r="E304">
        <v>156</v>
      </c>
      <c r="F304">
        <v>33.299999999999997</v>
      </c>
      <c r="G304">
        <v>52</v>
      </c>
      <c r="H304">
        <v>1</v>
      </c>
      <c r="K304">
        <f t="shared" si="24"/>
        <v>0.80440696070066098</v>
      </c>
      <c r="L304">
        <f t="shared" si="25"/>
        <v>2.2353704431359236</v>
      </c>
      <c r="M304">
        <f t="shared" si="26"/>
        <v>0.69091638265980526</v>
      </c>
      <c r="N304">
        <f t="shared" si="27"/>
        <v>-0.36973647171205848</v>
      </c>
      <c r="O304">
        <f t="shared" si="28"/>
        <v>0.69091638265980526</v>
      </c>
      <c r="P304">
        <f t="shared" si="29"/>
        <v>1</v>
      </c>
    </row>
    <row r="305" spans="1:16">
      <c r="A305">
        <v>2</v>
      </c>
      <c r="B305">
        <v>112</v>
      </c>
      <c r="C305">
        <v>78</v>
      </c>
      <c r="D305">
        <v>50</v>
      </c>
      <c r="E305">
        <v>140</v>
      </c>
      <c r="F305">
        <v>39.4</v>
      </c>
      <c r="G305">
        <v>24</v>
      </c>
      <c r="H305">
        <v>0</v>
      </c>
      <c r="K305">
        <f t="shared" si="24"/>
        <v>0.30906827808496556</v>
      </c>
      <c r="L305">
        <f t="shared" si="25"/>
        <v>1.3621553726886531</v>
      </c>
      <c r="M305">
        <f t="shared" si="26"/>
        <v>0.42334217789483497</v>
      </c>
      <c r="N305">
        <f t="shared" si="27"/>
        <v>-0.85957449575089395</v>
      </c>
      <c r="O305">
        <f t="shared" si="28"/>
        <v>0.57665782210516503</v>
      </c>
      <c r="P305">
        <f t="shared" si="29"/>
        <v>0</v>
      </c>
    </row>
    <row r="306" spans="1:16">
      <c r="A306">
        <v>2</v>
      </c>
      <c r="B306">
        <v>82</v>
      </c>
      <c r="C306">
        <v>52</v>
      </c>
      <c r="D306">
        <v>22</v>
      </c>
      <c r="E306">
        <v>115</v>
      </c>
      <c r="F306">
        <v>28.5</v>
      </c>
      <c r="G306">
        <v>25</v>
      </c>
      <c r="H306">
        <v>0</v>
      </c>
      <c r="K306">
        <f t="shared" si="24"/>
        <v>-3.6993693414021089E-2</v>
      </c>
      <c r="L306">
        <f t="shared" si="25"/>
        <v>0.96368221287462108</v>
      </c>
      <c r="M306">
        <f t="shared" si="26"/>
        <v>0.50924736876651067</v>
      </c>
      <c r="N306">
        <f t="shared" si="27"/>
        <v>-0.67482139076827441</v>
      </c>
      <c r="O306">
        <f t="shared" si="28"/>
        <v>0.49075263123348928</v>
      </c>
      <c r="P306">
        <f t="shared" si="29"/>
        <v>0</v>
      </c>
    </row>
    <row r="307" spans="1:16">
      <c r="A307">
        <v>6</v>
      </c>
      <c r="B307">
        <v>123</v>
      </c>
      <c r="C307">
        <v>72</v>
      </c>
      <c r="D307">
        <v>45</v>
      </c>
      <c r="E307">
        <v>230</v>
      </c>
      <c r="F307">
        <v>33.6</v>
      </c>
      <c r="G307">
        <v>34</v>
      </c>
      <c r="H307">
        <v>0</v>
      </c>
      <c r="K307">
        <f t="shared" si="24"/>
        <v>0.41687634246668415</v>
      </c>
      <c r="L307">
        <f t="shared" si="25"/>
        <v>1.5172148862842514</v>
      </c>
      <c r="M307">
        <f t="shared" si="26"/>
        <v>0.39726445503273455</v>
      </c>
      <c r="N307">
        <f t="shared" si="27"/>
        <v>-0.9231530864797286</v>
      </c>
      <c r="O307">
        <f t="shared" si="28"/>
        <v>0.60273554496726545</v>
      </c>
      <c r="P307">
        <f t="shared" si="29"/>
        <v>1</v>
      </c>
    </row>
    <row r="308" spans="1:16">
      <c r="A308">
        <v>0</v>
      </c>
      <c r="B308">
        <v>188</v>
      </c>
      <c r="C308">
        <v>82</v>
      </c>
      <c r="D308">
        <v>14</v>
      </c>
      <c r="E308">
        <v>185</v>
      </c>
      <c r="F308">
        <v>32</v>
      </c>
      <c r="G308">
        <v>22</v>
      </c>
      <c r="H308">
        <v>1</v>
      </c>
      <c r="K308">
        <f t="shared" si="24"/>
        <v>0.61260959273249327</v>
      </c>
      <c r="L308">
        <f t="shared" si="25"/>
        <v>1.8452404472844377</v>
      </c>
      <c r="M308">
        <f t="shared" si="26"/>
        <v>0.64853585539513092</v>
      </c>
      <c r="N308">
        <f t="shared" si="27"/>
        <v>-0.43303798701600121</v>
      </c>
      <c r="O308">
        <f t="shared" si="28"/>
        <v>0.64853585539513092</v>
      </c>
      <c r="P308">
        <f t="shared" si="29"/>
        <v>1</v>
      </c>
    </row>
    <row r="309" spans="1:16">
      <c r="A309">
        <v>1</v>
      </c>
      <c r="B309">
        <v>89</v>
      </c>
      <c r="C309">
        <v>24</v>
      </c>
      <c r="D309">
        <v>19</v>
      </c>
      <c r="E309">
        <v>25</v>
      </c>
      <c r="F309">
        <v>27.8</v>
      </c>
      <c r="G309">
        <v>21</v>
      </c>
      <c r="H309">
        <v>0</v>
      </c>
      <c r="K309">
        <f t="shared" si="24"/>
        <v>-2.2058814390742532E-2</v>
      </c>
      <c r="L309">
        <f t="shared" si="25"/>
        <v>0.97818270213968384</v>
      </c>
      <c r="M309">
        <f t="shared" si="26"/>
        <v>0.50551447999133692</v>
      </c>
      <c r="N309">
        <f t="shared" si="27"/>
        <v>-0.68217859604297193</v>
      </c>
      <c r="O309">
        <f t="shared" si="28"/>
        <v>0.49448552000866308</v>
      </c>
      <c r="P309">
        <f t="shared" si="29"/>
        <v>0</v>
      </c>
    </row>
    <row r="310" spans="1:16">
      <c r="A310">
        <v>1</v>
      </c>
      <c r="B310">
        <v>109</v>
      </c>
      <c r="C310">
        <v>38</v>
      </c>
      <c r="D310">
        <v>18</v>
      </c>
      <c r="E310">
        <v>120</v>
      </c>
      <c r="F310">
        <v>23.1</v>
      </c>
      <c r="G310">
        <v>26</v>
      </c>
      <c r="H310">
        <v>0</v>
      </c>
      <c r="K310">
        <f t="shared" si="24"/>
        <v>7.615257293701011E-2</v>
      </c>
      <c r="L310">
        <f t="shared" si="25"/>
        <v>1.0791272072051015</v>
      </c>
      <c r="M310">
        <f t="shared" si="26"/>
        <v>0.48097105195610679</v>
      </c>
      <c r="N310">
        <f t="shared" si="27"/>
        <v>-0.73194819373088493</v>
      </c>
      <c r="O310">
        <f t="shared" si="28"/>
        <v>0.51902894804389321</v>
      </c>
      <c r="P310">
        <f t="shared" si="29"/>
        <v>0</v>
      </c>
    </row>
    <row r="311" spans="1:16">
      <c r="A311">
        <v>7</v>
      </c>
      <c r="B311">
        <v>150</v>
      </c>
      <c r="C311">
        <v>78</v>
      </c>
      <c r="D311">
        <v>29</v>
      </c>
      <c r="E311">
        <v>126</v>
      </c>
      <c r="F311">
        <v>35.200000000000003</v>
      </c>
      <c r="G311">
        <v>54</v>
      </c>
      <c r="H311">
        <v>1</v>
      </c>
      <c r="K311">
        <f t="shared" si="24"/>
        <v>0.72433027301414854</v>
      </c>
      <c r="L311">
        <f t="shared" si="25"/>
        <v>2.0633487567782498</v>
      </c>
      <c r="M311">
        <f t="shared" si="26"/>
        <v>0.67355985903096827</v>
      </c>
      <c r="N311">
        <f t="shared" si="27"/>
        <v>-0.39517840952954492</v>
      </c>
      <c r="O311">
        <f t="shared" si="28"/>
        <v>0.67355985903096827</v>
      </c>
      <c r="P311">
        <f t="shared" si="29"/>
        <v>1</v>
      </c>
    </row>
    <row r="312" spans="1:16">
      <c r="A312">
        <v>1</v>
      </c>
      <c r="B312">
        <v>181</v>
      </c>
      <c r="C312">
        <v>78</v>
      </c>
      <c r="D312">
        <v>42</v>
      </c>
      <c r="E312">
        <v>293</v>
      </c>
      <c r="F312">
        <v>40</v>
      </c>
      <c r="G312">
        <v>22</v>
      </c>
      <c r="H312">
        <v>1</v>
      </c>
      <c r="K312">
        <f t="shared" si="24"/>
        <v>0.70917142466723737</v>
      </c>
      <c r="L312">
        <f t="shared" si="25"/>
        <v>2.0323066416751945</v>
      </c>
      <c r="M312">
        <f t="shared" si="26"/>
        <v>0.67021804910615801</v>
      </c>
      <c r="N312">
        <f t="shared" si="27"/>
        <v>-0.40015217311622514</v>
      </c>
      <c r="O312">
        <f t="shared" si="28"/>
        <v>0.67021804910615801</v>
      </c>
      <c r="P312">
        <f t="shared" si="29"/>
        <v>1</v>
      </c>
    </row>
    <row r="313" spans="1:16">
      <c r="A313">
        <v>1</v>
      </c>
      <c r="B313">
        <v>92</v>
      </c>
      <c r="C313">
        <v>62</v>
      </c>
      <c r="D313">
        <v>25</v>
      </c>
      <c r="E313">
        <v>41</v>
      </c>
      <c r="F313">
        <v>19.5</v>
      </c>
      <c r="G313">
        <v>25</v>
      </c>
      <c r="H313">
        <v>0</v>
      </c>
      <c r="K313">
        <f t="shared" si="24"/>
        <v>-6.4425076787786667E-2</v>
      </c>
      <c r="L313">
        <f t="shared" si="25"/>
        <v>0.93760636011078569</v>
      </c>
      <c r="M313">
        <f t="shared" si="26"/>
        <v>0.51610070063086677</v>
      </c>
      <c r="N313">
        <f t="shared" si="27"/>
        <v>-0.66145337627971057</v>
      </c>
      <c r="O313">
        <f t="shared" si="28"/>
        <v>0.48389929936913323</v>
      </c>
      <c r="P313">
        <f t="shared" si="29"/>
        <v>0</v>
      </c>
    </row>
    <row r="314" spans="1:16">
      <c r="A314">
        <v>0</v>
      </c>
      <c r="B314">
        <v>152</v>
      </c>
      <c r="C314">
        <v>82</v>
      </c>
      <c r="D314">
        <v>39</v>
      </c>
      <c r="E314">
        <v>272</v>
      </c>
      <c r="F314">
        <v>41.5</v>
      </c>
      <c r="G314">
        <v>27</v>
      </c>
      <c r="H314">
        <v>0</v>
      </c>
      <c r="K314">
        <f t="shared" si="24"/>
        <v>0.54916950864729985</v>
      </c>
      <c r="L314">
        <f t="shared" si="25"/>
        <v>1.7318141637846518</v>
      </c>
      <c r="M314">
        <f t="shared" si="26"/>
        <v>0.36605711078626268</v>
      </c>
      <c r="N314">
        <f t="shared" si="27"/>
        <v>-1.0049659173541827</v>
      </c>
      <c r="O314">
        <f t="shared" si="28"/>
        <v>0.63394288921373732</v>
      </c>
      <c r="P314">
        <f t="shared" si="29"/>
        <v>1</v>
      </c>
    </row>
    <row r="315" spans="1:16">
      <c r="A315">
        <v>1</v>
      </c>
      <c r="B315">
        <v>111</v>
      </c>
      <c r="C315">
        <v>62</v>
      </c>
      <c r="D315">
        <v>13</v>
      </c>
      <c r="E315">
        <v>182</v>
      </c>
      <c r="F315">
        <v>24</v>
      </c>
      <c r="G315">
        <v>23</v>
      </c>
      <c r="H315">
        <v>0</v>
      </c>
      <c r="K315">
        <f t="shared" si="24"/>
        <v>5.2769263401741623E-2</v>
      </c>
      <c r="L315">
        <f t="shared" si="25"/>
        <v>1.0541863776763687</v>
      </c>
      <c r="M315">
        <f t="shared" si="26"/>
        <v>0.48681074456893669</v>
      </c>
      <c r="N315">
        <f t="shared" si="27"/>
        <v>-0.71987984627804547</v>
      </c>
      <c r="O315">
        <f t="shared" si="28"/>
        <v>0.51318925543106331</v>
      </c>
      <c r="P315">
        <f t="shared" si="29"/>
        <v>0</v>
      </c>
    </row>
    <row r="316" spans="1:16">
      <c r="A316">
        <v>3</v>
      </c>
      <c r="B316">
        <v>106</v>
      </c>
      <c r="C316">
        <v>54</v>
      </c>
      <c r="D316">
        <v>21</v>
      </c>
      <c r="E316">
        <v>158</v>
      </c>
      <c r="F316">
        <v>30.9</v>
      </c>
      <c r="G316">
        <v>24</v>
      </c>
      <c r="H316">
        <v>0</v>
      </c>
      <c r="K316">
        <f t="shared" si="24"/>
        <v>0.14234597499271545</v>
      </c>
      <c r="L316">
        <f t="shared" si="25"/>
        <v>1.1529754802235033</v>
      </c>
      <c r="M316">
        <f t="shared" si="26"/>
        <v>0.46447347365804126</v>
      </c>
      <c r="N316">
        <f t="shared" si="27"/>
        <v>-0.7668508296613149</v>
      </c>
      <c r="O316">
        <f t="shared" si="28"/>
        <v>0.53552652634195874</v>
      </c>
      <c r="P316">
        <f t="shared" si="29"/>
        <v>0</v>
      </c>
    </row>
    <row r="317" spans="1:16">
      <c r="A317">
        <v>3</v>
      </c>
      <c r="B317">
        <v>174</v>
      </c>
      <c r="C317">
        <v>58</v>
      </c>
      <c r="D317">
        <v>22</v>
      </c>
      <c r="E317">
        <v>194</v>
      </c>
      <c r="F317">
        <v>32.9</v>
      </c>
      <c r="G317">
        <v>36</v>
      </c>
      <c r="H317">
        <v>1</v>
      </c>
      <c r="K317">
        <f t="shared" si="24"/>
        <v>0.68112071603370583</v>
      </c>
      <c r="L317">
        <f t="shared" si="25"/>
        <v>1.9760911287163287</v>
      </c>
      <c r="M317">
        <f t="shared" si="26"/>
        <v>0.66398878369314995</v>
      </c>
      <c r="N317">
        <f t="shared" si="27"/>
        <v>-0.40949002167676374</v>
      </c>
      <c r="O317">
        <f t="shared" si="28"/>
        <v>0.66398878369314995</v>
      </c>
      <c r="P317">
        <f t="shared" si="29"/>
        <v>1</v>
      </c>
    </row>
    <row r="318" spans="1:16">
      <c r="A318">
        <v>7</v>
      </c>
      <c r="B318">
        <v>168</v>
      </c>
      <c r="C318">
        <v>88</v>
      </c>
      <c r="D318">
        <v>42</v>
      </c>
      <c r="E318">
        <v>321</v>
      </c>
      <c r="F318">
        <v>38.200000000000003</v>
      </c>
      <c r="G318">
        <v>40</v>
      </c>
      <c r="H318">
        <v>1</v>
      </c>
      <c r="K318">
        <f t="shared" si="24"/>
        <v>0.78610571589951084</v>
      </c>
      <c r="L318">
        <f t="shared" si="25"/>
        <v>2.1948324606666381</v>
      </c>
      <c r="M318">
        <f t="shared" si="26"/>
        <v>0.68699454124385018</v>
      </c>
      <c r="N318">
        <f t="shared" si="27"/>
        <v>-0.37542893257905552</v>
      </c>
      <c r="O318">
        <f t="shared" si="28"/>
        <v>0.68699454124385018</v>
      </c>
      <c r="P318">
        <f t="shared" si="29"/>
        <v>1</v>
      </c>
    </row>
    <row r="319" spans="1:16">
      <c r="A319">
        <v>11</v>
      </c>
      <c r="B319">
        <v>138</v>
      </c>
      <c r="C319">
        <v>74</v>
      </c>
      <c r="D319">
        <v>26</v>
      </c>
      <c r="E319">
        <v>144</v>
      </c>
      <c r="F319">
        <v>36.1</v>
      </c>
      <c r="G319">
        <v>50</v>
      </c>
      <c r="H319">
        <v>1</v>
      </c>
      <c r="K319">
        <f t="shared" si="24"/>
        <v>0.67016703465973093</v>
      </c>
      <c r="L319">
        <f t="shared" si="25"/>
        <v>1.9545637732655183</v>
      </c>
      <c r="M319">
        <f t="shared" si="26"/>
        <v>0.66154056004864814</v>
      </c>
      <c r="N319">
        <f t="shared" si="27"/>
        <v>-0.41318398204054485</v>
      </c>
      <c r="O319">
        <f t="shared" si="28"/>
        <v>0.66154056004864814</v>
      </c>
      <c r="P319">
        <f t="shared" si="29"/>
        <v>1</v>
      </c>
    </row>
    <row r="320" spans="1:16">
      <c r="A320">
        <v>2</v>
      </c>
      <c r="B320">
        <v>68</v>
      </c>
      <c r="C320">
        <v>62</v>
      </c>
      <c r="D320">
        <v>13</v>
      </c>
      <c r="E320">
        <v>15</v>
      </c>
      <c r="F320">
        <v>20.100000000000001</v>
      </c>
      <c r="G320">
        <v>23</v>
      </c>
      <c r="H320">
        <v>0</v>
      </c>
      <c r="K320">
        <f t="shared" si="24"/>
        <v>-0.23895315892383728</v>
      </c>
      <c r="L320">
        <f t="shared" si="25"/>
        <v>0.78745176659700644</v>
      </c>
      <c r="M320">
        <f t="shared" si="26"/>
        <v>0.55945565563641697</v>
      </c>
      <c r="N320">
        <f t="shared" si="27"/>
        <v>-0.58079101150000401</v>
      </c>
      <c r="O320">
        <f t="shared" si="28"/>
        <v>0.44054434436358303</v>
      </c>
      <c r="P320">
        <f t="shared" si="29"/>
        <v>0</v>
      </c>
    </row>
    <row r="321" spans="1:16">
      <c r="A321">
        <v>2</v>
      </c>
      <c r="B321">
        <v>112</v>
      </c>
      <c r="C321">
        <v>86</v>
      </c>
      <c r="D321">
        <v>42</v>
      </c>
      <c r="E321">
        <v>160</v>
      </c>
      <c r="F321">
        <v>38.4</v>
      </c>
      <c r="G321">
        <v>28</v>
      </c>
      <c r="H321">
        <v>0</v>
      </c>
      <c r="K321">
        <f t="shared" si="24"/>
        <v>0.30261858209087894</v>
      </c>
      <c r="L321">
        <f t="shared" si="25"/>
        <v>1.3533981556890939</v>
      </c>
      <c r="M321">
        <f t="shared" si="26"/>
        <v>0.42491747415651049</v>
      </c>
      <c r="N321">
        <f t="shared" si="27"/>
        <v>-0.85586030736806673</v>
      </c>
      <c r="O321">
        <f t="shared" si="28"/>
        <v>0.57508252584348951</v>
      </c>
      <c r="P321">
        <f t="shared" si="29"/>
        <v>0</v>
      </c>
    </row>
    <row r="322" spans="1:16">
      <c r="A322">
        <v>0</v>
      </c>
      <c r="B322">
        <v>94</v>
      </c>
      <c r="C322">
        <v>70</v>
      </c>
      <c r="D322">
        <v>27</v>
      </c>
      <c r="E322">
        <v>115</v>
      </c>
      <c r="F322">
        <v>43.5</v>
      </c>
      <c r="G322">
        <v>21</v>
      </c>
      <c r="H322">
        <v>0</v>
      </c>
      <c r="K322">
        <f t="shared" si="24"/>
        <v>0.1468879484356736</v>
      </c>
      <c r="L322">
        <f t="shared" si="25"/>
        <v>1.1582241749278699</v>
      </c>
      <c r="M322">
        <f t="shared" si="26"/>
        <v>0.46334389708771617</v>
      </c>
      <c r="N322">
        <f t="shared" si="27"/>
        <v>-0.76928574231552227</v>
      </c>
      <c r="O322">
        <f t="shared" si="28"/>
        <v>0.53665610291228383</v>
      </c>
      <c r="P322">
        <f t="shared" si="29"/>
        <v>0</v>
      </c>
    </row>
    <row r="323" spans="1:16">
      <c r="A323">
        <v>4</v>
      </c>
      <c r="B323">
        <v>90</v>
      </c>
      <c r="C323">
        <v>88</v>
      </c>
      <c r="D323">
        <v>47</v>
      </c>
      <c r="E323">
        <v>54</v>
      </c>
      <c r="F323">
        <v>37.700000000000003</v>
      </c>
      <c r="G323">
        <v>29</v>
      </c>
      <c r="H323">
        <v>0</v>
      </c>
      <c r="K323">
        <f t="shared" ref="K323:K386" si="30">J$3+A323*J$4+J$5*B323++J$6*C323+J$7*D323+J$8*E323+J$9*F323+J$10*G323</f>
        <v>0.20238029288342241</v>
      </c>
      <c r="L323">
        <f t="shared" ref="L323:L386" si="31">EXP(K323)</f>
        <v>1.2243135173085407</v>
      </c>
      <c r="M323">
        <f t="shared" ref="M323:M386" si="32">IF(H323=1,L323/(1+L323),1-(L323/(1+L323)))</f>
        <v>0.44957691090688412</v>
      </c>
      <c r="N323">
        <f t="shared" ref="N323:N386" si="33">LN(M323)</f>
        <v>-0.79944833646583058</v>
      </c>
      <c r="O323">
        <f t="shared" ref="O323:O386" si="34">(EXP(J$3+J$4*A323+J$5*B323+J$6*C323+J$7*D323+J$8*E323+J$9*F323+J$10*G323))/(1+(EXP(J$3+J$4*A323+J$5*B323+J$6*C323+J$7*D323+J$8*E323+J$9*F323+J$10*G323)))</f>
        <v>0.55042308909311588</v>
      </c>
      <c r="P323">
        <f t="shared" ref="P323:P386" si="35">IF(O323&lt;0.6, 0,1)</f>
        <v>0</v>
      </c>
    </row>
    <row r="324" spans="1:16">
      <c r="A324">
        <v>0</v>
      </c>
      <c r="B324">
        <v>102</v>
      </c>
      <c r="C324">
        <v>78</v>
      </c>
      <c r="D324">
        <v>40</v>
      </c>
      <c r="E324">
        <v>90</v>
      </c>
      <c r="F324">
        <v>34.5</v>
      </c>
      <c r="G324">
        <v>24</v>
      </c>
      <c r="H324">
        <v>0</v>
      </c>
      <c r="K324">
        <f t="shared" si="30"/>
        <v>0.15444856666178808</v>
      </c>
      <c r="L324">
        <f t="shared" si="31"/>
        <v>1.1670142530750887</v>
      </c>
      <c r="M324">
        <f t="shared" si="32"/>
        <v>0.46146443133955217</v>
      </c>
      <c r="N324">
        <f t="shared" si="33"/>
        <v>-0.77335029986304293</v>
      </c>
      <c r="O324">
        <f t="shared" si="34"/>
        <v>0.53853556866044783</v>
      </c>
      <c r="P324">
        <f t="shared" si="35"/>
        <v>0</v>
      </c>
    </row>
    <row r="325" spans="1:16">
      <c r="A325">
        <v>1</v>
      </c>
      <c r="B325">
        <v>128</v>
      </c>
      <c r="C325">
        <v>82</v>
      </c>
      <c r="D325">
        <v>17</v>
      </c>
      <c r="E325">
        <v>183</v>
      </c>
      <c r="F325">
        <v>27.5</v>
      </c>
      <c r="G325">
        <v>22</v>
      </c>
      <c r="H325">
        <v>0</v>
      </c>
      <c r="K325">
        <f t="shared" si="30"/>
        <v>0.19329467494676306</v>
      </c>
      <c r="L325">
        <f t="shared" si="31"/>
        <v>1.2132402523562249</v>
      </c>
      <c r="M325">
        <f t="shared" si="32"/>
        <v>0.45182623031340396</v>
      </c>
      <c r="N325">
        <f t="shared" si="33"/>
        <v>-0.79445761927757874</v>
      </c>
      <c r="O325">
        <f t="shared" si="34"/>
        <v>0.54817376968659604</v>
      </c>
      <c r="P325">
        <f t="shared" si="35"/>
        <v>0</v>
      </c>
    </row>
    <row r="326" spans="1:16">
      <c r="A326">
        <v>2</v>
      </c>
      <c r="B326">
        <v>94</v>
      </c>
      <c r="C326">
        <v>76</v>
      </c>
      <c r="D326">
        <v>18</v>
      </c>
      <c r="E326">
        <v>66</v>
      </c>
      <c r="F326">
        <v>31.6</v>
      </c>
      <c r="G326">
        <v>23</v>
      </c>
      <c r="H326">
        <v>0</v>
      </c>
      <c r="K326">
        <f t="shared" si="30"/>
        <v>4.6989611549240196E-2</v>
      </c>
      <c r="L326">
        <f t="shared" si="31"/>
        <v>1.0481111207723304</v>
      </c>
      <c r="M326">
        <f t="shared" si="32"/>
        <v>0.48825475818075048</v>
      </c>
      <c r="N326">
        <f t="shared" si="33"/>
        <v>-0.71691796389495344</v>
      </c>
      <c r="O326">
        <f t="shared" si="34"/>
        <v>0.51174524181924952</v>
      </c>
      <c r="P326">
        <f t="shared" si="35"/>
        <v>0</v>
      </c>
    </row>
    <row r="327" spans="1:16">
      <c r="A327">
        <v>7</v>
      </c>
      <c r="B327">
        <v>97</v>
      </c>
      <c r="C327">
        <v>76</v>
      </c>
      <c r="D327">
        <v>32</v>
      </c>
      <c r="E327">
        <v>91</v>
      </c>
      <c r="F327">
        <v>40.9</v>
      </c>
      <c r="G327">
        <v>32</v>
      </c>
      <c r="H327">
        <v>1</v>
      </c>
      <c r="K327">
        <f t="shared" si="30"/>
        <v>0.30465710353459041</v>
      </c>
      <c r="L327">
        <f t="shared" si="31"/>
        <v>1.3561599008333096</v>
      </c>
      <c r="M327">
        <f t="shared" si="32"/>
        <v>0.57558058786828215</v>
      </c>
      <c r="N327">
        <f t="shared" si="33"/>
        <v>-0.55237602957535703</v>
      </c>
      <c r="O327">
        <f t="shared" si="34"/>
        <v>0.57558058786828215</v>
      </c>
      <c r="P327">
        <f t="shared" si="35"/>
        <v>0</v>
      </c>
    </row>
    <row r="328" spans="1:16">
      <c r="A328">
        <v>1</v>
      </c>
      <c r="B328">
        <v>100</v>
      </c>
      <c r="C328">
        <v>74</v>
      </c>
      <c r="D328">
        <v>12</v>
      </c>
      <c r="E328">
        <v>46</v>
      </c>
      <c r="F328">
        <v>19.5</v>
      </c>
      <c r="G328">
        <v>28</v>
      </c>
      <c r="H328">
        <v>0</v>
      </c>
      <c r="K328">
        <f t="shared" si="30"/>
        <v>-2.5503294248839709E-2</v>
      </c>
      <c r="L328">
        <f t="shared" si="31"/>
        <v>0.97481916766353971</v>
      </c>
      <c r="M328">
        <f t="shared" si="32"/>
        <v>0.50637547800547544</v>
      </c>
      <c r="N328">
        <f t="shared" si="33"/>
        <v>-0.68047683348446175</v>
      </c>
      <c r="O328">
        <f t="shared" si="34"/>
        <v>0.49362452199452461</v>
      </c>
      <c r="P328">
        <f t="shared" si="35"/>
        <v>0</v>
      </c>
    </row>
    <row r="329" spans="1:16">
      <c r="A329">
        <v>0</v>
      </c>
      <c r="B329">
        <v>102</v>
      </c>
      <c r="C329">
        <v>86</v>
      </c>
      <c r="D329">
        <v>17</v>
      </c>
      <c r="E329">
        <v>105</v>
      </c>
      <c r="F329">
        <v>29.3</v>
      </c>
      <c r="G329">
        <v>27</v>
      </c>
      <c r="H329">
        <v>0</v>
      </c>
      <c r="K329">
        <f t="shared" si="30"/>
        <v>6.8040120416807848E-2</v>
      </c>
      <c r="L329">
        <f t="shared" si="31"/>
        <v>1.0704082528425543</v>
      </c>
      <c r="M329">
        <f t="shared" si="32"/>
        <v>0.48299652912755553</v>
      </c>
      <c r="N329">
        <f t="shared" si="33"/>
        <v>-0.72774581142669792</v>
      </c>
      <c r="O329">
        <f t="shared" si="34"/>
        <v>0.51700347087244447</v>
      </c>
      <c r="P329">
        <f t="shared" si="35"/>
        <v>0</v>
      </c>
    </row>
    <row r="330" spans="1:16">
      <c r="A330">
        <v>3</v>
      </c>
      <c r="B330">
        <v>103</v>
      </c>
      <c r="C330">
        <v>72</v>
      </c>
      <c r="D330">
        <v>30</v>
      </c>
      <c r="E330">
        <v>152</v>
      </c>
      <c r="F330">
        <v>27.6</v>
      </c>
      <c r="G330">
        <v>27</v>
      </c>
      <c r="H330">
        <v>0</v>
      </c>
      <c r="K330">
        <f t="shared" si="30"/>
        <v>0.12121522093033937</v>
      </c>
      <c r="L330">
        <f t="shared" si="31"/>
        <v>1.1288678422118437</v>
      </c>
      <c r="M330">
        <f t="shared" si="32"/>
        <v>0.46973324514171044</v>
      </c>
      <c r="N330">
        <f t="shared" si="33"/>
        <v>-0.75559030893145651</v>
      </c>
      <c r="O330">
        <f t="shared" si="34"/>
        <v>0.53026675485828956</v>
      </c>
      <c r="P330">
        <f t="shared" si="35"/>
        <v>0</v>
      </c>
    </row>
    <row r="331" spans="1:16">
      <c r="A331">
        <v>2</v>
      </c>
      <c r="B331">
        <v>157</v>
      </c>
      <c r="C331">
        <v>74</v>
      </c>
      <c r="D331">
        <v>35</v>
      </c>
      <c r="E331">
        <v>440</v>
      </c>
      <c r="F331">
        <v>39.4</v>
      </c>
      <c r="G331">
        <v>30</v>
      </c>
      <c r="H331">
        <v>0</v>
      </c>
      <c r="K331">
        <f t="shared" si="30"/>
        <v>0.58137196227208476</v>
      </c>
      <c r="L331">
        <f t="shared" si="31"/>
        <v>1.7884904897751697</v>
      </c>
      <c r="M331">
        <f t="shared" si="32"/>
        <v>0.35861696630015327</v>
      </c>
      <c r="N331">
        <f t="shared" si="33"/>
        <v>-1.0255004063253097</v>
      </c>
      <c r="O331">
        <f t="shared" si="34"/>
        <v>0.64138303369984673</v>
      </c>
      <c r="P331">
        <f t="shared" si="35"/>
        <v>1</v>
      </c>
    </row>
    <row r="332" spans="1:16">
      <c r="A332">
        <v>1</v>
      </c>
      <c r="B332">
        <v>167</v>
      </c>
      <c r="C332">
        <v>74</v>
      </c>
      <c r="D332">
        <v>17</v>
      </c>
      <c r="E332">
        <v>144</v>
      </c>
      <c r="F332">
        <v>23.4</v>
      </c>
      <c r="G332">
        <v>33</v>
      </c>
      <c r="H332">
        <v>1</v>
      </c>
      <c r="K332">
        <f t="shared" si="30"/>
        <v>0.48467359285494588</v>
      </c>
      <c r="L332">
        <f t="shared" si="31"/>
        <v>1.6236449530282331</v>
      </c>
      <c r="M332">
        <f t="shared" si="32"/>
        <v>0.61885086667470324</v>
      </c>
      <c r="N332">
        <f t="shared" si="33"/>
        <v>-0.47989096153703426</v>
      </c>
      <c r="O332">
        <f t="shared" si="34"/>
        <v>0.61885086667470324</v>
      </c>
      <c r="P332">
        <f t="shared" si="35"/>
        <v>1</v>
      </c>
    </row>
    <row r="333" spans="1:16">
      <c r="A333">
        <v>0</v>
      </c>
      <c r="B333">
        <v>179</v>
      </c>
      <c r="C333">
        <v>50</v>
      </c>
      <c r="D333">
        <v>36</v>
      </c>
      <c r="E333">
        <v>159</v>
      </c>
      <c r="F333">
        <v>37.799999999999997</v>
      </c>
      <c r="G333">
        <v>22</v>
      </c>
      <c r="H333">
        <v>1</v>
      </c>
      <c r="K333">
        <f t="shared" si="30"/>
        <v>0.67394516896218115</v>
      </c>
      <c r="L333">
        <f t="shared" si="31"/>
        <v>1.9619623453022363</v>
      </c>
      <c r="M333">
        <f t="shared" si="32"/>
        <v>0.66238598489071587</v>
      </c>
      <c r="N333">
        <f t="shared" si="33"/>
        <v>-0.41190683421053242</v>
      </c>
      <c r="O333">
        <f t="shared" si="34"/>
        <v>0.66238598489071587</v>
      </c>
      <c r="P333">
        <f t="shared" si="35"/>
        <v>1</v>
      </c>
    </row>
    <row r="334" spans="1:16">
      <c r="A334">
        <v>11</v>
      </c>
      <c r="B334">
        <v>136</v>
      </c>
      <c r="C334">
        <v>84</v>
      </c>
      <c r="D334">
        <v>35</v>
      </c>
      <c r="E334">
        <v>130</v>
      </c>
      <c r="F334">
        <v>28.3</v>
      </c>
      <c r="G334">
        <v>42</v>
      </c>
      <c r="H334">
        <v>1</v>
      </c>
      <c r="K334">
        <f t="shared" si="30"/>
        <v>0.54344855991495289</v>
      </c>
      <c r="L334">
        <f t="shared" si="31"/>
        <v>1.7219348302652282</v>
      </c>
      <c r="M334">
        <f t="shared" si="32"/>
        <v>0.63261427537463899</v>
      </c>
      <c r="N334">
        <f t="shared" si="33"/>
        <v>-0.45789440217070404</v>
      </c>
      <c r="O334">
        <f t="shared" si="34"/>
        <v>0.63261427537463899</v>
      </c>
      <c r="P334">
        <f t="shared" si="35"/>
        <v>1</v>
      </c>
    </row>
    <row r="335" spans="1:16">
      <c r="A335">
        <v>1</v>
      </c>
      <c r="B335">
        <v>91</v>
      </c>
      <c r="C335">
        <v>54</v>
      </c>
      <c r="D335">
        <v>25</v>
      </c>
      <c r="E335">
        <v>100</v>
      </c>
      <c r="F335">
        <v>25.2</v>
      </c>
      <c r="G335">
        <v>23</v>
      </c>
      <c r="H335">
        <v>0</v>
      </c>
      <c r="K335">
        <f t="shared" si="30"/>
        <v>-2.9112518137822785E-2</v>
      </c>
      <c r="L335">
        <f t="shared" si="31"/>
        <v>0.97130716864396915</v>
      </c>
      <c r="M335">
        <f t="shared" si="32"/>
        <v>0.50727761553664119</v>
      </c>
      <c r="N335">
        <f t="shared" si="33"/>
        <v>-0.67869686008902608</v>
      </c>
      <c r="O335">
        <f t="shared" si="34"/>
        <v>0.49272238446335886</v>
      </c>
      <c r="P335">
        <f t="shared" si="35"/>
        <v>0</v>
      </c>
    </row>
    <row r="336" spans="1:16">
      <c r="A336">
        <v>1</v>
      </c>
      <c r="B336">
        <v>117</v>
      </c>
      <c r="C336">
        <v>60</v>
      </c>
      <c r="D336">
        <v>23</v>
      </c>
      <c r="E336">
        <v>106</v>
      </c>
      <c r="F336">
        <v>33.799999999999997</v>
      </c>
      <c r="G336">
        <v>27</v>
      </c>
      <c r="H336">
        <v>0</v>
      </c>
      <c r="K336">
        <f t="shared" si="30"/>
        <v>0.24619224100617704</v>
      </c>
      <c r="L336">
        <f t="shared" si="31"/>
        <v>1.2791454541159626</v>
      </c>
      <c r="M336">
        <f t="shared" si="32"/>
        <v>0.43876093919064107</v>
      </c>
      <c r="N336">
        <f t="shared" si="33"/>
        <v>-0.82380057188463252</v>
      </c>
      <c r="O336">
        <f t="shared" si="34"/>
        <v>0.56123906080935893</v>
      </c>
      <c r="P336">
        <f t="shared" si="35"/>
        <v>0</v>
      </c>
    </row>
    <row r="337" spans="1:16">
      <c r="A337">
        <v>5</v>
      </c>
      <c r="B337">
        <v>123</v>
      </c>
      <c r="C337">
        <v>74</v>
      </c>
      <c r="D337">
        <v>40</v>
      </c>
      <c r="E337">
        <v>77</v>
      </c>
      <c r="F337">
        <v>34.1</v>
      </c>
      <c r="G337">
        <v>28</v>
      </c>
      <c r="H337">
        <v>0</v>
      </c>
      <c r="K337">
        <f t="shared" si="30"/>
        <v>0.37566728991052778</v>
      </c>
      <c r="L337">
        <f t="shared" si="31"/>
        <v>1.4559626397173968</v>
      </c>
      <c r="M337">
        <f t="shared" si="32"/>
        <v>0.40717231761924044</v>
      </c>
      <c r="N337">
        <f t="shared" si="33"/>
        <v>-0.89851879832774395</v>
      </c>
      <c r="O337">
        <f t="shared" si="34"/>
        <v>0.59282768238075956</v>
      </c>
      <c r="P337">
        <f t="shared" si="35"/>
        <v>0</v>
      </c>
    </row>
    <row r="338" spans="1:16">
      <c r="A338">
        <v>1</v>
      </c>
      <c r="B338">
        <v>106</v>
      </c>
      <c r="C338">
        <v>70</v>
      </c>
      <c r="D338">
        <v>28</v>
      </c>
      <c r="E338">
        <v>135</v>
      </c>
      <c r="F338">
        <v>34.200000000000003</v>
      </c>
      <c r="G338">
        <v>22</v>
      </c>
      <c r="H338">
        <v>0</v>
      </c>
      <c r="K338">
        <f t="shared" si="30"/>
        <v>0.14986584300023703</v>
      </c>
      <c r="L338">
        <f t="shared" si="31"/>
        <v>1.1616783849869941</v>
      </c>
      <c r="M338">
        <f t="shared" si="32"/>
        <v>0.4626035061205539</v>
      </c>
      <c r="N338">
        <f t="shared" si="33"/>
        <v>-0.77088495005106017</v>
      </c>
      <c r="O338">
        <f t="shared" si="34"/>
        <v>0.5373964938794461</v>
      </c>
      <c r="P338">
        <f t="shared" si="35"/>
        <v>0</v>
      </c>
    </row>
    <row r="339" spans="1:16">
      <c r="A339">
        <v>2</v>
      </c>
      <c r="B339">
        <v>155</v>
      </c>
      <c r="C339">
        <v>52</v>
      </c>
      <c r="D339">
        <v>27</v>
      </c>
      <c r="E339">
        <v>540</v>
      </c>
      <c r="F339">
        <v>38.700000000000003</v>
      </c>
      <c r="G339">
        <v>25</v>
      </c>
      <c r="H339">
        <v>1</v>
      </c>
      <c r="K339">
        <f t="shared" si="30"/>
        <v>0.51075236976424598</v>
      </c>
      <c r="L339">
        <f t="shared" si="31"/>
        <v>1.6665445811354402</v>
      </c>
      <c r="M339">
        <f t="shared" si="32"/>
        <v>0.62498283093613594</v>
      </c>
      <c r="N339">
        <f t="shared" si="33"/>
        <v>-0.47003110012523919</v>
      </c>
      <c r="O339">
        <f t="shared" si="34"/>
        <v>0.62498283093613594</v>
      </c>
      <c r="P339">
        <f t="shared" si="35"/>
        <v>1</v>
      </c>
    </row>
    <row r="340" spans="1:16">
      <c r="A340">
        <v>2</v>
      </c>
      <c r="B340">
        <v>101</v>
      </c>
      <c r="C340">
        <v>58</v>
      </c>
      <c r="D340">
        <v>35</v>
      </c>
      <c r="E340">
        <v>90</v>
      </c>
      <c r="F340">
        <v>21.8</v>
      </c>
      <c r="G340">
        <v>22</v>
      </c>
      <c r="H340">
        <v>0</v>
      </c>
      <c r="K340">
        <f t="shared" si="30"/>
        <v>2.7944506660618429E-2</v>
      </c>
      <c r="L340">
        <f t="shared" si="31"/>
        <v>1.0283386168941393</v>
      </c>
      <c r="M340">
        <f t="shared" si="32"/>
        <v>0.49301432791889244</v>
      </c>
      <c r="N340">
        <f t="shared" si="33"/>
        <v>-0.70721704264595331</v>
      </c>
      <c r="O340">
        <f t="shared" si="34"/>
        <v>0.50698567208110756</v>
      </c>
      <c r="P340">
        <f t="shared" si="35"/>
        <v>0</v>
      </c>
    </row>
    <row r="341" spans="1:16">
      <c r="A341">
        <v>1</v>
      </c>
      <c r="B341">
        <v>120</v>
      </c>
      <c r="C341">
        <v>80</v>
      </c>
      <c r="D341">
        <v>48</v>
      </c>
      <c r="E341">
        <v>200</v>
      </c>
      <c r="F341">
        <v>38.9</v>
      </c>
      <c r="G341">
        <v>41</v>
      </c>
      <c r="H341">
        <v>0</v>
      </c>
      <c r="K341">
        <f t="shared" si="30"/>
        <v>0.44258157005717358</v>
      </c>
      <c r="L341">
        <f t="shared" si="31"/>
        <v>1.5567208194411384</v>
      </c>
      <c r="M341">
        <f t="shared" si="32"/>
        <v>0.39112600499673844</v>
      </c>
      <c r="N341">
        <f t="shared" si="33"/>
        <v>-0.93872550749370509</v>
      </c>
      <c r="O341">
        <f t="shared" si="34"/>
        <v>0.60887399500326156</v>
      </c>
      <c r="P341">
        <f t="shared" si="35"/>
        <v>1</v>
      </c>
    </row>
    <row r="342" spans="1:16">
      <c r="A342">
        <v>3</v>
      </c>
      <c r="B342">
        <v>80</v>
      </c>
      <c r="C342">
        <v>82</v>
      </c>
      <c r="D342">
        <v>31</v>
      </c>
      <c r="E342">
        <v>70</v>
      </c>
      <c r="F342">
        <v>34.200000000000003</v>
      </c>
      <c r="G342">
        <v>27</v>
      </c>
      <c r="H342">
        <v>1</v>
      </c>
      <c r="K342">
        <f t="shared" si="30"/>
        <v>4.3928659733142528E-2</v>
      </c>
      <c r="L342">
        <f t="shared" si="31"/>
        <v>1.0449078082275056</v>
      </c>
      <c r="M342">
        <f t="shared" si="32"/>
        <v>0.51098039922553551</v>
      </c>
      <c r="N342">
        <f t="shared" si="33"/>
        <v>-0.67142404719407689</v>
      </c>
      <c r="O342">
        <f t="shared" si="34"/>
        <v>0.51098039922553551</v>
      </c>
      <c r="P342">
        <f t="shared" si="35"/>
        <v>0</v>
      </c>
    </row>
    <row r="343" spans="1:16">
      <c r="A343">
        <v>8</v>
      </c>
      <c r="B343">
        <v>167</v>
      </c>
      <c r="C343">
        <v>106</v>
      </c>
      <c r="D343">
        <v>46</v>
      </c>
      <c r="E343">
        <v>231</v>
      </c>
      <c r="F343">
        <v>37.6</v>
      </c>
      <c r="G343">
        <v>43</v>
      </c>
      <c r="H343">
        <v>1</v>
      </c>
      <c r="K343">
        <f t="shared" si="30"/>
        <v>0.81513389552460669</v>
      </c>
      <c r="L343">
        <f t="shared" si="31"/>
        <v>2.259478186113697</v>
      </c>
      <c r="M343">
        <f t="shared" si="32"/>
        <v>0.69320242600171889</v>
      </c>
      <c r="N343">
        <f t="shared" si="33"/>
        <v>-0.3664332214328474</v>
      </c>
      <c r="O343">
        <f t="shared" si="34"/>
        <v>0.69320242600171889</v>
      </c>
      <c r="P343">
        <f t="shared" si="35"/>
        <v>1</v>
      </c>
    </row>
    <row r="344" spans="1:16">
      <c r="A344">
        <v>9</v>
      </c>
      <c r="B344">
        <v>145</v>
      </c>
      <c r="C344">
        <v>80</v>
      </c>
      <c r="D344">
        <v>46</v>
      </c>
      <c r="E344">
        <v>130</v>
      </c>
      <c r="F344">
        <v>37.9</v>
      </c>
      <c r="G344">
        <v>40</v>
      </c>
      <c r="H344">
        <v>1</v>
      </c>
      <c r="K344">
        <f t="shared" si="30"/>
        <v>0.68737595570560983</v>
      </c>
      <c r="L344">
        <f t="shared" si="31"/>
        <v>1.9884907933458564</v>
      </c>
      <c r="M344">
        <f t="shared" si="32"/>
        <v>0.66538294103947393</v>
      </c>
      <c r="N344">
        <f t="shared" si="33"/>
        <v>-0.40739255287777482</v>
      </c>
      <c r="O344">
        <f t="shared" si="34"/>
        <v>0.66538294103947393</v>
      </c>
      <c r="P344">
        <f t="shared" si="35"/>
        <v>1</v>
      </c>
    </row>
    <row r="345" spans="1:16">
      <c r="A345">
        <v>1</v>
      </c>
      <c r="B345">
        <v>112</v>
      </c>
      <c r="C345">
        <v>80</v>
      </c>
      <c r="D345">
        <v>45</v>
      </c>
      <c r="E345">
        <v>132</v>
      </c>
      <c r="F345">
        <v>34.799999999999997</v>
      </c>
      <c r="G345">
        <v>24</v>
      </c>
      <c r="H345">
        <v>0</v>
      </c>
      <c r="K345">
        <f t="shared" si="30"/>
        <v>0.24024189487774755</v>
      </c>
      <c r="L345">
        <f t="shared" si="31"/>
        <v>1.2715566961745921</v>
      </c>
      <c r="M345">
        <f t="shared" si="32"/>
        <v>0.44022674040407916</v>
      </c>
      <c r="N345">
        <f t="shared" si="33"/>
        <v>-0.82046536570094042</v>
      </c>
      <c r="O345">
        <f t="shared" si="34"/>
        <v>0.55977325959592084</v>
      </c>
      <c r="P345">
        <f t="shared" si="35"/>
        <v>0</v>
      </c>
    </row>
    <row r="346" spans="1:16">
      <c r="A346">
        <v>6</v>
      </c>
      <c r="B346">
        <v>98</v>
      </c>
      <c r="C346">
        <v>58</v>
      </c>
      <c r="D346">
        <v>33</v>
      </c>
      <c r="E346">
        <v>190</v>
      </c>
      <c r="F346">
        <v>34</v>
      </c>
      <c r="G346">
        <v>43</v>
      </c>
      <c r="H346">
        <v>0</v>
      </c>
      <c r="K346">
        <f t="shared" si="30"/>
        <v>0.29950910764495337</v>
      </c>
      <c r="L346">
        <f t="shared" si="31"/>
        <v>1.3491963348216802</v>
      </c>
      <c r="M346">
        <f t="shared" si="32"/>
        <v>0.42567749028771862</v>
      </c>
      <c r="N346">
        <f t="shared" si="33"/>
        <v>-0.85407328448353592</v>
      </c>
      <c r="O346">
        <f t="shared" si="34"/>
        <v>0.57432250971228138</v>
      </c>
      <c r="P346">
        <f t="shared" si="35"/>
        <v>0</v>
      </c>
    </row>
    <row r="347" spans="1:16">
      <c r="A347">
        <v>9</v>
      </c>
      <c r="B347">
        <v>154</v>
      </c>
      <c r="C347">
        <v>78</v>
      </c>
      <c r="D347">
        <v>30</v>
      </c>
      <c r="E347">
        <v>100</v>
      </c>
      <c r="F347">
        <v>30.9</v>
      </c>
      <c r="G347">
        <v>45</v>
      </c>
      <c r="H347">
        <v>0</v>
      </c>
      <c r="K347">
        <f t="shared" si="30"/>
        <v>0.67775653665928248</v>
      </c>
      <c r="L347">
        <f t="shared" si="31"/>
        <v>1.9694543735758994</v>
      </c>
      <c r="M347">
        <f t="shared" si="32"/>
        <v>0.33676220416068303</v>
      </c>
      <c r="N347">
        <f t="shared" si="33"/>
        <v>-1.0883782233366739</v>
      </c>
      <c r="O347">
        <f t="shared" si="34"/>
        <v>0.66323779583931697</v>
      </c>
      <c r="P347">
        <f t="shared" si="35"/>
        <v>1</v>
      </c>
    </row>
    <row r="348" spans="1:16">
      <c r="A348">
        <v>6</v>
      </c>
      <c r="B348">
        <v>165</v>
      </c>
      <c r="C348">
        <v>68</v>
      </c>
      <c r="D348">
        <v>26</v>
      </c>
      <c r="E348">
        <v>168</v>
      </c>
      <c r="F348">
        <v>33.6</v>
      </c>
      <c r="G348">
        <v>49</v>
      </c>
      <c r="H348">
        <v>0</v>
      </c>
      <c r="K348">
        <f t="shared" si="30"/>
        <v>0.75561263104365373</v>
      </c>
      <c r="L348">
        <f t="shared" si="31"/>
        <v>2.1289153635690572</v>
      </c>
      <c r="M348">
        <f t="shared" si="32"/>
        <v>0.31959956847772664</v>
      </c>
      <c r="N348">
        <f t="shared" si="33"/>
        <v>-1.1406864152857767</v>
      </c>
      <c r="O348">
        <f t="shared" si="34"/>
        <v>0.68040043152227336</v>
      </c>
      <c r="P348">
        <f t="shared" si="35"/>
        <v>1</v>
      </c>
    </row>
    <row r="349" spans="1:16">
      <c r="A349">
        <v>10</v>
      </c>
      <c r="B349">
        <v>68</v>
      </c>
      <c r="C349">
        <v>106</v>
      </c>
      <c r="D349">
        <v>23</v>
      </c>
      <c r="E349">
        <v>49</v>
      </c>
      <c r="F349">
        <v>35.5</v>
      </c>
      <c r="G349">
        <v>47</v>
      </c>
      <c r="H349">
        <v>0</v>
      </c>
      <c r="K349">
        <f t="shared" si="30"/>
        <v>0.1659863666485058</v>
      </c>
      <c r="L349">
        <f t="shared" si="31"/>
        <v>1.1805570066649307</v>
      </c>
      <c r="M349">
        <f t="shared" si="32"/>
        <v>0.45859842092798919</v>
      </c>
      <c r="N349">
        <f t="shared" si="33"/>
        <v>-0.77958035180894214</v>
      </c>
      <c r="O349">
        <f t="shared" si="34"/>
        <v>0.54140157907201081</v>
      </c>
      <c r="P349">
        <f t="shared" si="35"/>
        <v>0</v>
      </c>
    </row>
    <row r="350" spans="1:16">
      <c r="A350">
        <v>3</v>
      </c>
      <c r="B350">
        <v>123</v>
      </c>
      <c r="C350">
        <v>100</v>
      </c>
      <c r="D350">
        <v>35</v>
      </c>
      <c r="E350">
        <v>240</v>
      </c>
      <c r="F350">
        <v>57.3</v>
      </c>
      <c r="G350">
        <v>22</v>
      </c>
      <c r="H350">
        <v>0</v>
      </c>
      <c r="K350">
        <f t="shared" si="30"/>
        <v>0.51024193400028828</v>
      </c>
      <c r="L350">
        <f t="shared" si="31"/>
        <v>1.6656941342467175</v>
      </c>
      <c r="M350">
        <f t="shared" si="32"/>
        <v>0.37513681226694229</v>
      </c>
      <c r="N350">
        <f t="shared" si="33"/>
        <v>-0.98046448683515164</v>
      </c>
      <c r="O350">
        <f t="shared" si="34"/>
        <v>0.62486318773305771</v>
      </c>
      <c r="P350">
        <f t="shared" si="35"/>
        <v>1</v>
      </c>
    </row>
    <row r="351" spans="1:16">
      <c r="A351">
        <v>2</v>
      </c>
      <c r="B351">
        <v>101</v>
      </c>
      <c r="C351">
        <v>58</v>
      </c>
      <c r="D351">
        <v>17</v>
      </c>
      <c r="E351">
        <v>265</v>
      </c>
      <c r="F351">
        <v>24.2</v>
      </c>
      <c r="G351">
        <v>23</v>
      </c>
      <c r="H351">
        <v>0</v>
      </c>
      <c r="K351">
        <f t="shared" si="30"/>
        <v>2.882415695801277E-3</v>
      </c>
      <c r="L351">
        <f t="shared" si="31"/>
        <v>1.0028865738501396</v>
      </c>
      <c r="M351">
        <f t="shared" si="32"/>
        <v>0.49927939657496667</v>
      </c>
      <c r="N351">
        <f t="shared" si="33"/>
        <v>-0.69458942694751669</v>
      </c>
      <c r="O351">
        <f t="shared" si="34"/>
        <v>0.50072060342503333</v>
      </c>
      <c r="P351">
        <f t="shared" si="35"/>
        <v>0</v>
      </c>
    </row>
    <row r="352" spans="1:16">
      <c r="A352">
        <v>2</v>
      </c>
      <c r="B352">
        <v>56</v>
      </c>
      <c r="C352">
        <v>56</v>
      </c>
      <c r="D352">
        <v>28</v>
      </c>
      <c r="E352">
        <v>45</v>
      </c>
      <c r="F352">
        <v>24.2</v>
      </c>
      <c r="G352">
        <v>22</v>
      </c>
      <c r="H352">
        <v>0</v>
      </c>
      <c r="K352">
        <f t="shared" si="30"/>
        <v>-0.25148494308987335</v>
      </c>
      <c r="L352">
        <f t="shared" si="31"/>
        <v>0.77764516645499948</v>
      </c>
      <c r="M352">
        <f t="shared" si="32"/>
        <v>0.56254196218146935</v>
      </c>
      <c r="N352">
        <f t="shared" si="33"/>
        <v>-0.57528954825223799</v>
      </c>
      <c r="O352">
        <f t="shared" si="34"/>
        <v>0.43745803781853071</v>
      </c>
      <c r="P352">
        <f t="shared" si="35"/>
        <v>0</v>
      </c>
    </row>
    <row r="353" spans="1:16">
      <c r="A353">
        <v>0</v>
      </c>
      <c r="B353">
        <v>95</v>
      </c>
      <c r="C353">
        <v>64</v>
      </c>
      <c r="D353">
        <v>39</v>
      </c>
      <c r="E353">
        <v>105</v>
      </c>
      <c r="F353">
        <v>44.6</v>
      </c>
      <c r="G353">
        <v>22</v>
      </c>
      <c r="H353">
        <v>0</v>
      </c>
      <c r="K353">
        <f t="shared" si="30"/>
        <v>0.19964658214090797</v>
      </c>
      <c r="L353">
        <f t="shared" si="31"/>
        <v>1.2209711688824634</v>
      </c>
      <c r="M353">
        <f t="shared" si="32"/>
        <v>0.4502534810045169</v>
      </c>
      <c r="N353">
        <f t="shared" si="33"/>
        <v>-0.79794456368551481</v>
      </c>
      <c r="O353">
        <f t="shared" si="34"/>
        <v>0.5497465189954831</v>
      </c>
      <c r="P353">
        <f t="shared" si="35"/>
        <v>0</v>
      </c>
    </row>
    <row r="354" spans="1:16">
      <c r="A354">
        <v>2</v>
      </c>
      <c r="B354">
        <v>129</v>
      </c>
      <c r="C354">
        <v>74</v>
      </c>
      <c r="D354">
        <v>26</v>
      </c>
      <c r="E354">
        <v>205</v>
      </c>
      <c r="F354">
        <v>33.200000000000003</v>
      </c>
      <c r="G354">
        <v>25</v>
      </c>
      <c r="H354">
        <v>0</v>
      </c>
      <c r="K354">
        <f t="shared" si="30"/>
        <v>0.30841610599177738</v>
      </c>
      <c r="L354">
        <f t="shared" si="31"/>
        <v>1.3612673025867446</v>
      </c>
      <c r="M354">
        <f t="shared" si="32"/>
        <v>0.42350139643424112</v>
      </c>
      <c r="N354">
        <f t="shared" si="33"/>
        <v>-0.85919846753007789</v>
      </c>
      <c r="O354">
        <f t="shared" si="34"/>
        <v>0.57649860356575888</v>
      </c>
      <c r="P354">
        <f t="shared" si="35"/>
        <v>0</v>
      </c>
    </row>
    <row r="355" spans="1:16">
      <c r="A355">
        <v>1</v>
      </c>
      <c r="B355">
        <v>140</v>
      </c>
      <c r="C355">
        <v>74</v>
      </c>
      <c r="D355">
        <v>26</v>
      </c>
      <c r="E355">
        <v>180</v>
      </c>
      <c r="F355">
        <v>24.1</v>
      </c>
      <c r="G355">
        <v>23</v>
      </c>
      <c r="H355">
        <v>0</v>
      </c>
      <c r="K355">
        <f t="shared" si="30"/>
        <v>0.26630499364268745</v>
      </c>
      <c r="L355">
        <f t="shared" si="31"/>
        <v>1.3051330552753484</v>
      </c>
      <c r="M355">
        <f t="shared" si="32"/>
        <v>0.43381443761412286</v>
      </c>
      <c r="N355">
        <f t="shared" si="33"/>
        <v>-0.83513839941399692</v>
      </c>
      <c r="O355">
        <f t="shared" si="34"/>
        <v>0.56618556238587714</v>
      </c>
      <c r="P355">
        <f t="shared" si="35"/>
        <v>0</v>
      </c>
    </row>
    <row r="356" spans="1:16">
      <c r="A356">
        <v>1</v>
      </c>
      <c r="B356">
        <v>144</v>
      </c>
      <c r="C356">
        <v>82</v>
      </c>
      <c r="D356">
        <v>46</v>
      </c>
      <c r="E356">
        <v>180</v>
      </c>
      <c r="F356">
        <v>46.1</v>
      </c>
      <c r="G356">
        <v>46</v>
      </c>
      <c r="H356">
        <v>1</v>
      </c>
      <c r="K356">
        <f t="shared" si="30"/>
        <v>0.70131090998502588</v>
      </c>
      <c r="L356">
        <f t="shared" si="31"/>
        <v>2.0163942870603098</v>
      </c>
      <c r="M356">
        <f t="shared" si="32"/>
        <v>0.6684783536788319</v>
      </c>
      <c r="N356">
        <f t="shared" si="33"/>
        <v>-0.40275126339995115</v>
      </c>
      <c r="O356">
        <f t="shared" si="34"/>
        <v>0.6684783536788319</v>
      </c>
      <c r="P356">
        <f t="shared" si="35"/>
        <v>1</v>
      </c>
    </row>
    <row r="357" spans="1:16">
      <c r="A357">
        <v>2</v>
      </c>
      <c r="B357">
        <v>121</v>
      </c>
      <c r="C357">
        <v>70</v>
      </c>
      <c r="D357">
        <v>32</v>
      </c>
      <c r="E357">
        <v>95</v>
      </c>
      <c r="F357">
        <v>39.1</v>
      </c>
      <c r="G357">
        <v>23</v>
      </c>
      <c r="H357">
        <v>0</v>
      </c>
      <c r="K357">
        <f t="shared" si="30"/>
        <v>0.32818553224397629</v>
      </c>
      <c r="L357">
        <f t="shared" si="31"/>
        <v>1.3884465499982508</v>
      </c>
      <c r="M357">
        <f t="shared" si="32"/>
        <v>0.41868217649699224</v>
      </c>
      <c r="N357">
        <f t="shared" si="33"/>
        <v>-0.87064317553520987</v>
      </c>
      <c r="O357">
        <f t="shared" si="34"/>
        <v>0.58131782350300776</v>
      </c>
      <c r="P357">
        <f t="shared" si="35"/>
        <v>0</v>
      </c>
    </row>
    <row r="358" spans="1:16">
      <c r="A358">
        <v>7</v>
      </c>
      <c r="B358">
        <v>129</v>
      </c>
      <c r="C358">
        <v>68</v>
      </c>
      <c r="D358">
        <v>49</v>
      </c>
      <c r="E358">
        <v>125</v>
      </c>
      <c r="F358">
        <v>38.5</v>
      </c>
      <c r="G358">
        <v>43</v>
      </c>
      <c r="H358">
        <v>1</v>
      </c>
      <c r="K358">
        <f t="shared" si="30"/>
        <v>0.59590160173379914</v>
      </c>
      <c r="L358">
        <f t="shared" si="31"/>
        <v>1.8146663139185275</v>
      </c>
      <c r="M358">
        <f t="shared" si="32"/>
        <v>0.64471809853445183</v>
      </c>
      <c r="N358">
        <f t="shared" si="33"/>
        <v>-0.43894211425914359</v>
      </c>
      <c r="O358">
        <f t="shared" si="34"/>
        <v>0.64471809853445183</v>
      </c>
      <c r="P358">
        <f t="shared" si="35"/>
        <v>1</v>
      </c>
    </row>
    <row r="359" spans="1:16">
      <c r="A359">
        <v>7</v>
      </c>
      <c r="B359">
        <v>142</v>
      </c>
      <c r="C359">
        <v>90</v>
      </c>
      <c r="D359">
        <v>24</v>
      </c>
      <c r="E359">
        <v>480</v>
      </c>
      <c r="F359">
        <v>30.4</v>
      </c>
      <c r="G359">
        <v>43</v>
      </c>
      <c r="H359">
        <v>1</v>
      </c>
      <c r="K359">
        <f t="shared" si="30"/>
        <v>0.5017812186950128</v>
      </c>
      <c r="L359">
        <f t="shared" si="31"/>
        <v>1.6516606208859661</v>
      </c>
      <c r="M359">
        <f t="shared" si="32"/>
        <v>0.62287783281033804</v>
      </c>
      <c r="N359">
        <f t="shared" si="33"/>
        <v>-0.47340487443130685</v>
      </c>
      <c r="O359">
        <f t="shared" si="34"/>
        <v>0.62287783281033804</v>
      </c>
      <c r="P359">
        <f t="shared" si="35"/>
        <v>1</v>
      </c>
    </row>
    <row r="360" spans="1:16">
      <c r="A360">
        <v>3</v>
      </c>
      <c r="B360">
        <v>169</v>
      </c>
      <c r="C360">
        <v>74</v>
      </c>
      <c r="D360">
        <v>19</v>
      </c>
      <c r="E360">
        <v>125</v>
      </c>
      <c r="F360">
        <v>29.9</v>
      </c>
      <c r="G360">
        <v>31</v>
      </c>
      <c r="H360">
        <v>1</v>
      </c>
      <c r="K360">
        <f t="shared" si="30"/>
        <v>0.58039570511497951</v>
      </c>
      <c r="L360">
        <f t="shared" si="31"/>
        <v>1.7867453151423323</v>
      </c>
      <c r="M360">
        <f t="shared" si="32"/>
        <v>0.64115845299306606</v>
      </c>
      <c r="N360">
        <f t="shared" si="33"/>
        <v>-0.44447865605245646</v>
      </c>
      <c r="O360">
        <f t="shared" si="34"/>
        <v>0.64115845299306606</v>
      </c>
      <c r="P360">
        <f t="shared" si="35"/>
        <v>1</v>
      </c>
    </row>
    <row r="361" spans="1:16">
      <c r="A361">
        <v>4</v>
      </c>
      <c r="B361">
        <v>127</v>
      </c>
      <c r="C361">
        <v>88</v>
      </c>
      <c r="D361">
        <v>11</v>
      </c>
      <c r="E361">
        <v>155</v>
      </c>
      <c r="F361">
        <v>34.5</v>
      </c>
      <c r="G361">
        <v>28</v>
      </c>
      <c r="H361">
        <v>0</v>
      </c>
      <c r="K361">
        <f t="shared" si="30"/>
        <v>0.31938478577479679</v>
      </c>
      <c r="L361">
        <f t="shared" si="31"/>
        <v>1.3762807963055197</v>
      </c>
      <c r="M361">
        <f t="shared" si="32"/>
        <v>0.42082568758487304</v>
      </c>
      <c r="N361">
        <f t="shared" si="33"/>
        <v>-0.86553657478092727</v>
      </c>
      <c r="O361">
        <f t="shared" si="34"/>
        <v>0.57917431241512696</v>
      </c>
      <c r="P361">
        <f t="shared" si="35"/>
        <v>0</v>
      </c>
    </row>
    <row r="362" spans="1:16">
      <c r="A362">
        <v>2</v>
      </c>
      <c r="B362">
        <v>122</v>
      </c>
      <c r="C362">
        <v>76</v>
      </c>
      <c r="D362">
        <v>27</v>
      </c>
      <c r="E362">
        <v>200</v>
      </c>
      <c r="F362">
        <v>35.9</v>
      </c>
      <c r="G362">
        <v>26</v>
      </c>
      <c r="H362">
        <v>0</v>
      </c>
      <c r="K362">
        <f t="shared" si="30"/>
        <v>0.29815217962535445</v>
      </c>
      <c r="L362">
        <f t="shared" si="31"/>
        <v>1.3473668140557331</v>
      </c>
      <c r="M362">
        <f t="shared" si="32"/>
        <v>0.42600926025371388</v>
      </c>
      <c r="N362">
        <f t="shared" si="33"/>
        <v>-0.85329419526425232</v>
      </c>
      <c r="O362">
        <f t="shared" si="34"/>
        <v>0.57399073974628612</v>
      </c>
      <c r="P362">
        <f t="shared" si="35"/>
        <v>0</v>
      </c>
    </row>
    <row r="363" spans="1:16">
      <c r="A363">
        <v>4</v>
      </c>
      <c r="B363">
        <v>110</v>
      </c>
      <c r="C363">
        <v>76</v>
      </c>
      <c r="D363">
        <v>20</v>
      </c>
      <c r="E363">
        <v>100</v>
      </c>
      <c r="F363">
        <v>28.4</v>
      </c>
      <c r="G363">
        <v>27</v>
      </c>
      <c r="H363">
        <v>0</v>
      </c>
      <c r="K363">
        <f t="shared" si="30"/>
        <v>0.16952425124348286</v>
      </c>
      <c r="L363">
        <f t="shared" si="31"/>
        <v>1.184741078129087</v>
      </c>
      <c r="M363">
        <f t="shared" si="32"/>
        <v>0.45772014359539326</v>
      </c>
      <c r="N363">
        <f t="shared" si="33"/>
        <v>-0.78149732181381959</v>
      </c>
      <c r="O363">
        <f t="shared" si="34"/>
        <v>0.54227985640460674</v>
      </c>
      <c r="P363">
        <f t="shared" si="35"/>
        <v>0</v>
      </c>
    </row>
    <row r="364" spans="1:16">
      <c r="A364">
        <v>2</v>
      </c>
      <c r="B364">
        <v>127</v>
      </c>
      <c r="C364">
        <v>46</v>
      </c>
      <c r="D364">
        <v>21</v>
      </c>
      <c r="E364">
        <v>335</v>
      </c>
      <c r="F364">
        <v>34.4</v>
      </c>
      <c r="G364">
        <v>22</v>
      </c>
      <c r="H364">
        <v>0</v>
      </c>
      <c r="K364">
        <f t="shared" si="30"/>
        <v>0.27547243880096844</v>
      </c>
      <c r="L364">
        <f t="shared" si="31"/>
        <v>1.3171528019880181</v>
      </c>
      <c r="M364">
        <f t="shared" si="32"/>
        <v>0.4315641157294603</v>
      </c>
      <c r="N364">
        <f t="shared" si="33"/>
        <v>-0.84033919147947123</v>
      </c>
      <c r="O364">
        <f t="shared" si="34"/>
        <v>0.5684358842705397</v>
      </c>
      <c r="P364">
        <f t="shared" si="35"/>
        <v>0</v>
      </c>
    </row>
    <row r="365" spans="1:16">
      <c r="A365">
        <v>2</v>
      </c>
      <c r="B365">
        <v>93</v>
      </c>
      <c r="C365">
        <v>64</v>
      </c>
      <c r="D365">
        <v>32</v>
      </c>
      <c r="E365">
        <v>160</v>
      </c>
      <c r="F365">
        <v>38</v>
      </c>
      <c r="G365">
        <v>23</v>
      </c>
      <c r="H365">
        <v>1</v>
      </c>
      <c r="K365">
        <f t="shared" si="30"/>
        <v>0.12978436098095258</v>
      </c>
      <c r="L365">
        <f t="shared" si="31"/>
        <v>1.1385828339651414</v>
      </c>
      <c r="M365">
        <f t="shared" si="32"/>
        <v>0.53240062338576688</v>
      </c>
      <c r="N365">
        <f t="shared" si="33"/>
        <v>-0.63035902156448265</v>
      </c>
      <c r="O365">
        <f t="shared" si="34"/>
        <v>0.53240062338576688</v>
      </c>
      <c r="P365">
        <f t="shared" si="35"/>
        <v>0</v>
      </c>
    </row>
    <row r="366" spans="1:16">
      <c r="A366">
        <v>3</v>
      </c>
      <c r="B366">
        <v>158</v>
      </c>
      <c r="C366">
        <v>64</v>
      </c>
      <c r="D366">
        <v>13</v>
      </c>
      <c r="E366">
        <v>387</v>
      </c>
      <c r="F366">
        <v>31.2</v>
      </c>
      <c r="G366">
        <v>24</v>
      </c>
      <c r="H366">
        <v>0</v>
      </c>
      <c r="K366">
        <f t="shared" si="30"/>
        <v>0.44135749057080609</v>
      </c>
      <c r="L366">
        <f t="shared" si="31"/>
        <v>1.5548164352166804</v>
      </c>
      <c r="M366">
        <f t="shared" si="32"/>
        <v>0.39141755400332212</v>
      </c>
      <c r="N366">
        <f t="shared" si="33"/>
        <v>-0.93798037575830173</v>
      </c>
      <c r="O366">
        <f t="shared" si="34"/>
        <v>0.60858244599667788</v>
      </c>
      <c r="P366">
        <f t="shared" si="35"/>
        <v>1</v>
      </c>
    </row>
    <row r="367" spans="1:16">
      <c r="A367">
        <v>5</v>
      </c>
      <c r="B367">
        <v>126</v>
      </c>
      <c r="C367">
        <v>78</v>
      </c>
      <c r="D367">
        <v>27</v>
      </c>
      <c r="E367">
        <v>22</v>
      </c>
      <c r="F367">
        <v>29.6</v>
      </c>
      <c r="G367">
        <v>40</v>
      </c>
      <c r="H367">
        <v>0</v>
      </c>
      <c r="K367">
        <f t="shared" si="30"/>
        <v>0.40352134246431637</v>
      </c>
      <c r="L367">
        <f t="shared" si="31"/>
        <v>1.4970871833677826</v>
      </c>
      <c r="M367">
        <f t="shared" si="32"/>
        <v>0.40046659430261289</v>
      </c>
      <c r="N367">
        <f t="shared" si="33"/>
        <v>-0.91512492593352057</v>
      </c>
      <c r="O367">
        <f t="shared" si="34"/>
        <v>0.59953340569738711</v>
      </c>
      <c r="P367">
        <f t="shared" si="35"/>
        <v>0</v>
      </c>
    </row>
    <row r="368" spans="1:16">
      <c r="A368">
        <v>0</v>
      </c>
      <c r="B368">
        <v>134</v>
      </c>
      <c r="C368">
        <v>58</v>
      </c>
      <c r="D368">
        <v>20</v>
      </c>
      <c r="E368">
        <v>291</v>
      </c>
      <c r="F368">
        <v>26.4</v>
      </c>
      <c r="G368">
        <v>21</v>
      </c>
      <c r="H368">
        <v>0</v>
      </c>
      <c r="K368">
        <f t="shared" si="30"/>
        <v>0.20795598826620026</v>
      </c>
      <c r="L368">
        <f t="shared" si="31"/>
        <v>1.2311589829150313</v>
      </c>
      <c r="M368">
        <f t="shared" si="32"/>
        <v>0.44819755457026644</v>
      </c>
      <c r="N368">
        <f t="shared" si="33"/>
        <v>-0.80252117374294285</v>
      </c>
      <c r="O368">
        <f t="shared" si="34"/>
        <v>0.55180244542973356</v>
      </c>
      <c r="P368">
        <f t="shared" si="35"/>
        <v>0</v>
      </c>
    </row>
    <row r="369" spans="1:16">
      <c r="A369">
        <v>7</v>
      </c>
      <c r="B369">
        <v>187</v>
      </c>
      <c r="C369">
        <v>50</v>
      </c>
      <c r="D369">
        <v>33</v>
      </c>
      <c r="E369">
        <v>392</v>
      </c>
      <c r="F369">
        <v>33.9</v>
      </c>
      <c r="G369">
        <v>34</v>
      </c>
      <c r="H369">
        <v>1</v>
      </c>
      <c r="K369">
        <f t="shared" si="30"/>
        <v>0.81715476452577995</v>
      </c>
      <c r="L369">
        <f t="shared" si="31"/>
        <v>2.2640489124028398</v>
      </c>
      <c r="M369">
        <f t="shared" si="32"/>
        <v>0.69363204203216222</v>
      </c>
      <c r="N369">
        <f t="shared" si="33"/>
        <v>-0.36581365788133707</v>
      </c>
      <c r="O369">
        <f t="shared" si="34"/>
        <v>0.69363204203216222</v>
      </c>
      <c r="P369">
        <f t="shared" si="35"/>
        <v>1</v>
      </c>
    </row>
    <row r="370" spans="1:16">
      <c r="A370">
        <v>3</v>
      </c>
      <c r="B370">
        <v>173</v>
      </c>
      <c r="C370">
        <v>78</v>
      </c>
      <c r="D370">
        <v>39</v>
      </c>
      <c r="E370">
        <v>185</v>
      </c>
      <c r="F370">
        <v>33.799999999999997</v>
      </c>
      <c r="G370">
        <v>31</v>
      </c>
      <c r="H370">
        <v>1</v>
      </c>
      <c r="K370">
        <f t="shared" si="30"/>
        <v>0.68046146388310258</v>
      </c>
      <c r="L370">
        <f t="shared" si="31"/>
        <v>1.9747888157134255</v>
      </c>
      <c r="M370">
        <f t="shared" si="32"/>
        <v>0.66384168357841022</v>
      </c>
      <c r="N370">
        <f t="shared" si="33"/>
        <v>-0.40971158628002785</v>
      </c>
      <c r="O370">
        <f t="shared" si="34"/>
        <v>0.66384168357841022</v>
      </c>
      <c r="P370">
        <f t="shared" si="35"/>
        <v>1</v>
      </c>
    </row>
    <row r="371" spans="1:16">
      <c r="A371">
        <v>1</v>
      </c>
      <c r="B371">
        <v>108</v>
      </c>
      <c r="C371">
        <v>60</v>
      </c>
      <c r="D371">
        <v>46</v>
      </c>
      <c r="E371">
        <v>178</v>
      </c>
      <c r="F371">
        <v>35.5</v>
      </c>
      <c r="G371">
        <v>24</v>
      </c>
      <c r="H371">
        <v>0</v>
      </c>
      <c r="K371">
        <f t="shared" si="30"/>
        <v>0.22647044911710523</v>
      </c>
      <c r="L371">
        <f t="shared" si="31"/>
        <v>1.2541655475870679</v>
      </c>
      <c r="M371">
        <f t="shared" si="32"/>
        <v>0.44362314075398424</v>
      </c>
      <c r="N371">
        <f t="shared" si="33"/>
        <v>-0.81277985905500727</v>
      </c>
      <c r="O371">
        <f t="shared" si="34"/>
        <v>0.55637685924601576</v>
      </c>
      <c r="P371">
        <f t="shared" si="35"/>
        <v>0</v>
      </c>
    </row>
    <row r="372" spans="1:16">
      <c r="A372">
        <v>1</v>
      </c>
      <c r="B372">
        <v>114</v>
      </c>
      <c r="C372">
        <v>66</v>
      </c>
      <c r="D372">
        <v>36</v>
      </c>
      <c r="E372">
        <v>200</v>
      </c>
      <c r="F372">
        <v>38.1</v>
      </c>
      <c r="G372">
        <v>21</v>
      </c>
      <c r="H372">
        <v>0</v>
      </c>
      <c r="K372">
        <f t="shared" si="30"/>
        <v>0.2469802604890563</v>
      </c>
      <c r="L372">
        <f t="shared" si="31"/>
        <v>1.2801538429180714</v>
      </c>
      <c r="M372">
        <f t="shared" si="32"/>
        <v>0.43856689894232337</v>
      </c>
      <c r="N372">
        <f t="shared" si="33"/>
        <v>-0.8242429156540827</v>
      </c>
      <c r="O372">
        <f t="shared" si="34"/>
        <v>0.56143310105767663</v>
      </c>
      <c r="P372">
        <f t="shared" si="35"/>
        <v>0</v>
      </c>
    </row>
    <row r="373" spans="1:16">
      <c r="A373">
        <v>1</v>
      </c>
      <c r="B373">
        <v>149</v>
      </c>
      <c r="C373">
        <v>68</v>
      </c>
      <c r="D373">
        <v>29</v>
      </c>
      <c r="E373">
        <v>127</v>
      </c>
      <c r="F373">
        <v>29.3</v>
      </c>
      <c r="G373">
        <v>42</v>
      </c>
      <c r="H373">
        <v>1</v>
      </c>
      <c r="K373">
        <f t="shared" si="30"/>
        <v>0.51375087379410456</v>
      </c>
      <c r="L373">
        <f t="shared" si="31"/>
        <v>1.671549221244945</v>
      </c>
      <c r="M373">
        <f t="shared" si="32"/>
        <v>0.62568535438250372</v>
      </c>
      <c r="N373">
        <f t="shared" si="33"/>
        <v>-0.46890766302417097</v>
      </c>
      <c r="O373">
        <f t="shared" si="34"/>
        <v>0.62568535438250372</v>
      </c>
      <c r="P373">
        <f t="shared" si="35"/>
        <v>1</v>
      </c>
    </row>
    <row r="374" spans="1:16">
      <c r="A374">
        <v>5</v>
      </c>
      <c r="B374">
        <v>117</v>
      </c>
      <c r="C374">
        <v>86</v>
      </c>
      <c r="D374">
        <v>30</v>
      </c>
      <c r="E374">
        <v>105</v>
      </c>
      <c r="F374">
        <v>39.1</v>
      </c>
      <c r="G374">
        <v>42</v>
      </c>
      <c r="H374">
        <v>0</v>
      </c>
      <c r="K374">
        <f t="shared" si="30"/>
        <v>0.44818177553147787</v>
      </c>
      <c r="L374">
        <f t="shared" si="31"/>
        <v>1.5654632327029352</v>
      </c>
      <c r="M374">
        <f t="shared" si="32"/>
        <v>0.38979315207196108</v>
      </c>
      <c r="N374">
        <f t="shared" si="33"/>
        <v>-0.94213905986196322</v>
      </c>
      <c r="O374">
        <f t="shared" si="34"/>
        <v>0.61020684792803892</v>
      </c>
      <c r="P374">
        <f t="shared" si="35"/>
        <v>1</v>
      </c>
    </row>
    <row r="375" spans="1:16">
      <c r="A375">
        <v>1</v>
      </c>
      <c r="B375">
        <v>116</v>
      </c>
      <c r="C375">
        <v>78</v>
      </c>
      <c r="D375">
        <v>29</v>
      </c>
      <c r="E375">
        <v>180</v>
      </c>
      <c r="F375">
        <v>36.1</v>
      </c>
      <c r="G375">
        <v>25</v>
      </c>
      <c r="H375">
        <v>0</v>
      </c>
      <c r="K375">
        <f t="shared" si="30"/>
        <v>0.24810321721694878</v>
      </c>
      <c r="L375">
        <f t="shared" si="31"/>
        <v>1.2815922077482935</v>
      </c>
      <c r="M375">
        <f t="shared" si="32"/>
        <v>0.43829041693077198</v>
      </c>
      <c r="N375">
        <f t="shared" si="33"/>
        <v>-0.82487353597442248</v>
      </c>
      <c r="O375">
        <f t="shared" si="34"/>
        <v>0.56170958306922802</v>
      </c>
      <c r="P375">
        <f t="shared" si="35"/>
        <v>0</v>
      </c>
    </row>
    <row r="376" spans="1:16">
      <c r="A376">
        <v>3</v>
      </c>
      <c r="B376">
        <v>130</v>
      </c>
      <c r="C376">
        <v>78</v>
      </c>
      <c r="D376">
        <v>23</v>
      </c>
      <c r="E376">
        <v>79</v>
      </c>
      <c r="F376">
        <v>28.4</v>
      </c>
      <c r="G376">
        <v>34</v>
      </c>
      <c r="H376">
        <v>1</v>
      </c>
      <c r="K376">
        <f t="shared" si="30"/>
        <v>0.34105893200933979</v>
      </c>
      <c r="L376">
        <f t="shared" si="31"/>
        <v>1.4064361225266622</v>
      </c>
      <c r="M376">
        <f t="shared" si="32"/>
        <v>0.58444772722658445</v>
      </c>
      <c r="N376">
        <f t="shared" si="33"/>
        <v>-0.53708793367475982</v>
      </c>
      <c r="O376">
        <f t="shared" si="34"/>
        <v>0.58444772722658445</v>
      </c>
      <c r="P376">
        <f t="shared" si="35"/>
        <v>0</v>
      </c>
    </row>
    <row r="377" spans="1:16">
      <c r="A377">
        <v>2</v>
      </c>
      <c r="B377">
        <v>174</v>
      </c>
      <c r="C377">
        <v>88</v>
      </c>
      <c r="D377">
        <v>37</v>
      </c>
      <c r="E377">
        <v>120</v>
      </c>
      <c r="F377">
        <v>44.5</v>
      </c>
      <c r="G377">
        <v>24</v>
      </c>
      <c r="H377">
        <v>1</v>
      </c>
      <c r="K377">
        <f t="shared" si="30"/>
        <v>0.73658270464682607</v>
      </c>
      <c r="L377">
        <f t="shared" si="31"/>
        <v>2.0887853079422296</v>
      </c>
      <c r="M377">
        <f t="shared" si="32"/>
        <v>0.67624813630501013</v>
      </c>
      <c r="N377">
        <f t="shared" si="33"/>
        <v>-0.39119520475129121</v>
      </c>
      <c r="O377">
        <f t="shared" si="34"/>
        <v>0.67624813630501013</v>
      </c>
      <c r="P377">
        <f t="shared" si="35"/>
        <v>1</v>
      </c>
    </row>
    <row r="378" spans="1:16">
      <c r="A378">
        <v>2</v>
      </c>
      <c r="B378">
        <v>106</v>
      </c>
      <c r="C378">
        <v>56</v>
      </c>
      <c r="D378">
        <v>27</v>
      </c>
      <c r="E378">
        <v>165</v>
      </c>
      <c r="F378">
        <v>29</v>
      </c>
      <c r="G378">
        <v>22</v>
      </c>
      <c r="H378">
        <v>0</v>
      </c>
      <c r="K378">
        <f t="shared" si="30"/>
        <v>0.10961336263080917</v>
      </c>
      <c r="L378">
        <f t="shared" si="31"/>
        <v>1.1158465590670139</v>
      </c>
      <c r="M378">
        <f t="shared" si="32"/>
        <v>0.47262406421425551</v>
      </c>
      <c r="N378">
        <f t="shared" si="33"/>
        <v>-0.74945499674812743</v>
      </c>
      <c r="O378">
        <f t="shared" si="34"/>
        <v>0.52737593578574449</v>
      </c>
      <c r="P378">
        <f t="shared" si="35"/>
        <v>0</v>
      </c>
    </row>
    <row r="379" spans="1:16">
      <c r="A379">
        <v>0</v>
      </c>
      <c r="B379">
        <v>126</v>
      </c>
      <c r="C379">
        <v>86</v>
      </c>
      <c r="D379">
        <v>27</v>
      </c>
      <c r="E379">
        <v>120</v>
      </c>
      <c r="F379">
        <v>27.4</v>
      </c>
      <c r="G379">
        <v>21</v>
      </c>
      <c r="H379">
        <v>0</v>
      </c>
      <c r="K379">
        <f t="shared" si="30"/>
        <v>0.18682124397461769</v>
      </c>
      <c r="L379">
        <f t="shared" si="31"/>
        <v>1.2054117911693454</v>
      </c>
      <c r="M379">
        <f t="shared" si="32"/>
        <v>0.45343005963969374</v>
      </c>
      <c r="N379">
        <f t="shared" si="33"/>
        <v>-0.79091424482735295</v>
      </c>
      <c r="O379">
        <f t="shared" si="34"/>
        <v>0.54656994036030626</v>
      </c>
      <c r="P379">
        <f t="shared" si="35"/>
        <v>0</v>
      </c>
    </row>
    <row r="380" spans="1:16">
      <c r="A380">
        <v>2</v>
      </c>
      <c r="B380">
        <v>99</v>
      </c>
      <c r="C380">
        <v>60</v>
      </c>
      <c r="D380">
        <v>17</v>
      </c>
      <c r="E380">
        <v>160</v>
      </c>
      <c r="F380">
        <v>36.6</v>
      </c>
      <c r="G380">
        <v>21</v>
      </c>
      <c r="H380">
        <v>0</v>
      </c>
      <c r="K380">
        <f t="shared" si="30"/>
        <v>0.11195856349875039</v>
      </c>
      <c r="L380">
        <f t="shared" si="31"/>
        <v>1.1184665143457182</v>
      </c>
      <c r="M380">
        <f t="shared" si="32"/>
        <v>0.47203955938328668</v>
      </c>
      <c r="N380">
        <f t="shared" si="33"/>
        <v>-0.75069248465590632</v>
      </c>
      <c r="O380">
        <f t="shared" si="34"/>
        <v>0.52796044061671332</v>
      </c>
      <c r="P380">
        <f t="shared" si="35"/>
        <v>0</v>
      </c>
    </row>
    <row r="381" spans="1:16">
      <c r="A381">
        <v>11</v>
      </c>
      <c r="B381">
        <v>120</v>
      </c>
      <c r="C381">
        <v>80</v>
      </c>
      <c r="D381">
        <v>37</v>
      </c>
      <c r="E381">
        <v>150</v>
      </c>
      <c r="F381">
        <v>42.3</v>
      </c>
      <c r="G381">
        <v>48</v>
      </c>
      <c r="H381">
        <v>1</v>
      </c>
      <c r="K381">
        <f t="shared" si="30"/>
        <v>0.62244664181155529</v>
      </c>
      <c r="L381">
        <f t="shared" si="31"/>
        <v>1.8634817412823566</v>
      </c>
      <c r="M381">
        <f t="shared" si="32"/>
        <v>0.65077479434104279</v>
      </c>
      <c r="N381">
        <f t="shared" si="33"/>
        <v>-0.4295916346561246</v>
      </c>
      <c r="O381">
        <f t="shared" si="34"/>
        <v>0.65077479434104279</v>
      </c>
      <c r="P381">
        <f t="shared" si="35"/>
        <v>1</v>
      </c>
    </row>
    <row r="382" spans="1:16">
      <c r="A382">
        <v>3</v>
      </c>
      <c r="B382">
        <v>102</v>
      </c>
      <c r="C382">
        <v>44</v>
      </c>
      <c r="D382">
        <v>20</v>
      </c>
      <c r="E382">
        <v>94</v>
      </c>
      <c r="F382">
        <v>30.8</v>
      </c>
      <c r="G382">
        <v>26</v>
      </c>
      <c r="H382">
        <v>0</v>
      </c>
      <c r="K382">
        <f t="shared" si="30"/>
        <v>0.1363380282597722</v>
      </c>
      <c r="L382">
        <f t="shared" si="31"/>
        <v>1.1460692319135668</v>
      </c>
      <c r="M382">
        <f t="shared" si="32"/>
        <v>0.46596819204585438</v>
      </c>
      <c r="N382">
        <f t="shared" si="33"/>
        <v>-0.76363790459846403</v>
      </c>
      <c r="O382">
        <f t="shared" si="34"/>
        <v>0.53403180795414562</v>
      </c>
      <c r="P382">
        <f t="shared" si="35"/>
        <v>0</v>
      </c>
    </row>
    <row r="383" spans="1:16">
      <c r="A383">
        <v>1</v>
      </c>
      <c r="B383">
        <v>109</v>
      </c>
      <c r="C383">
        <v>58</v>
      </c>
      <c r="D383">
        <v>18</v>
      </c>
      <c r="E383">
        <v>116</v>
      </c>
      <c r="F383">
        <v>28.5</v>
      </c>
      <c r="G383">
        <v>22</v>
      </c>
      <c r="H383">
        <v>0</v>
      </c>
      <c r="K383">
        <f t="shared" si="30"/>
        <v>9.7495785673233193E-2</v>
      </c>
      <c r="L383">
        <f t="shared" si="31"/>
        <v>1.1024067956510697</v>
      </c>
      <c r="M383">
        <f t="shared" si="32"/>
        <v>0.47564534231365141</v>
      </c>
      <c r="N383">
        <f t="shared" si="33"/>
        <v>-0.74308278163315755</v>
      </c>
      <c r="O383">
        <f t="shared" si="34"/>
        <v>0.52435465768634859</v>
      </c>
      <c r="P383">
        <f t="shared" si="35"/>
        <v>0</v>
      </c>
    </row>
    <row r="384" spans="1:16">
      <c r="A384">
        <v>13</v>
      </c>
      <c r="B384">
        <v>153</v>
      </c>
      <c r="C384">
        <v>88</v>
      </c>
      <c r="D384">
        <v>37</v>
      </c>
      <c r="E384">
        <v>140</v>
      </c>
      <c r="F384">
        <v>40.6</v>
      </c>
      <c r="G384">
        <v>39</v>
      </c>
      <c r="H384">
        <v>0</v>
      </c>
      <c r="K384">
        <f t="shared" si="30"/>
        <v>0.78484959675970045</v>
      </c>
      <c r="L384">
        <f t="shared" si="31"/>
        <v>2.1920772204213974</v>
      </c>
      <c r="M384">
        <f t="shared" si="32"/>
        <v>0.31327562929946495</v>
      </c>
      <c r="N384">
        <f t="shared" si="33"/>
        <v>-1.1606718711562838</v>
      </c>
      <c r="O384">
        <f t="shared" si="34"/>
        <v>0.68672437070053505</v>
      </c>
      <c r="P384">
        <f t="shared" si="35"/>
        <v>1</v>
      </c>
    </row>
    <row r="385" spans="1:16">
      <c r="A385">
        <v>12</v>
      </c>
      <c r="B385">
        <v>100</v>
      </c>
      <c r="C385">
        <v>84</v>
      </c>
      <c r="D385">
        <v>33</v>
      </c>
      <c r="E385">
        <v>105</v>
      </c>
      <c r="F385">
        <v>30</v>
      </c>
      <c r="G385">
        <v>46</v>
      </c>
      <c r="H385">
        <v>0</v>
      </c>
      <c r="K385">
        <f t="shared" si="30"/>
        <v>0.36110635663158702</v>
      </c>
      <c r="L385">
        <f t="shared" si="31"/>
        <v>1.4349160656024973</v>
      </c>
      <c r="M385">
        <f t="shared" si="32"/>
        <v>0.41069177460643158</v>
      </c>
      <c r="N385">
        <f t="shared" si="33"/>
        <v>-0.88991228596200922</v>
      </c>
      <c r="O385">
        <f t="shared" si="34"/>
        <v>0.58930822539356842</v>
      </c>
      <c r="P385">
        <f t="shared" si="35"/>
        <v>0</v>
      </c>
    </row>
    <row r="386" spans="1:16">
      <c r="A386">
        <v>1</v>
      </c>
      <c r="B386">
        <v>81</v>
      </c>
      <c r="C386">
        <v>74</v>
      </c>
      <c r="D386">
        <v>41</v>
      </c>
      <c r="E386">
        <v>57</v>
      </c>
      <c r="F386">
        <v>46.3</v>
      </c>
      <c r="G386">
        <v>32</v>
      </c>
      <c r="H386">
        <v>0</v>
      </c>
      <c r="K386">
        <f t="shared" si="30"/>
        <v>0.2065302634978608</v>
      </c>
      <c r="L386">
        <f t="shared" si="31"/>
        <v>1.2294049397478388</v>
      </c>
      <c r="M386">
        <f t="shared" si="32"/>
        <v>0.44855018582362471</v>
      </c>
      <c r="N386">
        <f t="shared" si="33"/>
        <v>-0.80173470670065183</v>
      </c>
      <c r="O386">
        <f t="shared" si="34"/>
        <v>0.55144981417637529</v>
      </c>
      <c r="P386">
        <f t="shared" si="35"/>
        <v>0</v>
      </c>
    </row>
    <row r="387" spans="1:16">
      <c r="A387">
        <v>3</v>
      </c>
      <c r="B387">
        <v>187</v>
      </c>
      <c r="C387">
        <v>70</v>
      </c>
      <c r="D387">
        <v>22</v>
      </c>
      <c r="E387">
        <v>200</v>
      </c>
      <c r="F387">
        <v>36.4</v>
      </c>
      <c r="G387">
        <v>36</v>
      </c>
      <c r="H387">
        <v>1</v>
      </c>
      <c r="K387">
        <f t="shared" ref="K387:K393" si="36">J$3+A387*J$4+J$5*B387++J$6*C387+J$7*D387+J$8*E387+J$9*F387+J$10*G387</f>
        <v>0.79611666423881011</v>
      </c>
      <c r="L387">
        <f t="shared" ref="L387:L393" si="37">EXP(K387)</f>
        <v>2.2169151650246519</v>
      </c>
      <c r="M387">
        <f t="shared" ref="M387:M393" si="38">IF(H387=1,L387/(1+L387),1-(L387/(1+L387)))</f>
        <v>0.68914318572266831</v>
      </c>
      <c r="N387">
        <f t="shared" ref="N387:N393" si="39">LN(M387)</f>
        <v>-0.37230621283562598</v>
      </c>
      <c r="O387">
        <f t="shared" ref="O387:O393" si="40">(EXP(J$3+J$4*A387+J$5*B387+J$6*C387+J$7*D387+J$8*E387+J$9*F387+J$10*G387))/(1+(EXP(J$3+J$4*A387+J$5*B387+J$6*C387+J$7*D387+J$8*E387+J$9*F387+J$10*G387)))</f>
        <v>0.68914318572266831</v>
      </c>
      <c r="P387">
        <f t="shared" ref="P387:P393" si="41">IF(O387&lt;0.6, 0,1)</f>
        <v>1</v>
      </c>
    </row>
    <row r="388" spans="1:16">
      <c r="A388">
        <v>1</v>
      </c>
      <c r="B388">
        <v>121</v>
      </c>
      <c r="C388">
        <v>78</v>
      </c>
      <c r="D388">
        <v>39</v>
      </c>
      <c r="E388">
        <v>74</v>
      </c>
      <c r="F388">
        <v>39</v>
      </c>
      <c r="G388">
        <v>28</v>
      </c>
      <c r="H388">
        <v>0</v>
      </c>
      <c r="K388">
        <f t="shared" si="36"/>
        <v>0.36117540467904841</v>
      </c>
      <c r="L388">
        <f t="shared" si="37"/>
        <v>1.4350151471757535</v>
      </c>
      <c r="M388">
        <f t="shared" si="38"/>
        <v>0.41067506342202731</v>
      </c>
      <c r="N388">
        <f t="shared" si="39"/>
        <v>-0.88995297712126442</v>
      </c>
      <c r="O388">
        <f t="shared" si="40"/>
        <v>0.58932493657797269</v>
      </c>
      <c r="P388">
        <f t="shared" si="41"/>
        <v>0</v>
      </c>
    </row>
    <row r="389" spans="1:16">
      <c r="A389">
        <v>0</v>
      </c>
      <c r="B389">
        <v>181</v>
      </c>
      <c r="C389">
        <v>88</v>
      </c>
      <c r="D389">
        <v>44</v>
      </c>
      <c r="E389">
        <v>510</v>
      </c>
      <c r="F389">
        <v>43.3</v>
      </c>
      <c r="G389">
        <v>26</v>
      </c>
      <c r="H389">
        <v>1</v>
      </c>
      <c r="K389">
        <f t="shared" si="36"/>
        <v>0.73460618062213445</v>
      </c>
      <c r="L389">
        <f t="shared" si="37"/>
        <v>2.0846608509855238</v>
      </c>
      <c r="M389">
        <f t="shared" si="38"/>
        <v>0.67581525220819394</v>
      </c>
      <c r="N389">
        <f t="shared" si="39"/>
        <v>-0.39183553584121633</v>
      </c>
      <c r="O389">
        <f t="shared" si="40"/>
        <v>0.67581525220819394</v>
      </c>
      <c r="P389">
        <f t="shared" si="41"/>
        <v>1</v>
      </c>
    </row>
    <row r="390" spans="1:16">
      <c r="A390">
        <v>1</v>
      </c>
      <c r="B390">
        <v>128</v>
      </c>
      <c r="C390">
        <v>88</v>
      </c>
      <c r="D390">
        <v>39</v>
      </c>
      <c r="E390">
        <v>110</v>
      </c>
      <c r="F390">
        <v>36.5</v>
      </c>
      <c r="G390">
        <v>37</v>
      </c>
      <c r="H390">
        <v>1</v>
      </c>
      <c r="K390">
        <f t="shared" si="36"/>
        <v>0.4319488648032388</v>
      </c>
      <c r="L390">
        <f t="shared" si="37"/>
        <v>1.5402563518357413</v>
      </c>
      <c r="M390">
        <f t="shared" si="38"/>
        <v>0.60633894320258652</v>
      </c>
      <c r="N390">
        <f t="shared" si="39"/>
        <v>-0.50031613705411171</v>
      </c>
      <c r="O390">
        <f t="shared" si="40"/>
        <v>0.60633894320258652</v>
      </c>
      <c r="P390">
        <f t="shared" si="41"/>
        <v>1</v>
      </c>
    </row>
    <row r="391" spans="1:16">
      <c r="A391">
        <v>2</v>
      </c>
      <c r="B391">
        <v>88</v>
      </c>
      <c r="C391">
        <v>58</v>
      </c>
      <c r="D391">
        <v>26</v>
      </c>
      <c r="E391">
        <v>16</v>
      </c>
      <c r="F391">
        <v>28.4</v>
      </c>
      <c r="G391">
        <v>22</v>
      </c>
      <c r="H391">
        <v>0</v>
      </c>
      <c r="K391">
        <f t="shared" si="36"/>
        <v>-1.9360689381054397E-3</v>
      </c>
      <c r="L391">
        <f t="shared" si="37"/>
        <v>0.99806580403443146</v>
      </c>
      <c r="M391">
        <f t="shared" si="38"/>
        <v>0.50048401708333712</v>
      </c>
      <c r="N391">
        <f t="shared" si="39"/>
        <v>-0.69217961463618594</v>
      </c>
      <c r="O391">
        <f t="shared" si="40"/>
        <v>0.49951598291666294</v>
      </c>
      <c r="P391">
        <f t="shared" si="41"/>
        <v>0</v>
      </c>
    </row>
    <row r="392" spans="1:16">
      <c r="A392">
        <v>10</v>
      </c>
      <c r="B392">
        <v>101</v>
      </c>
      <c r="C392">
        <v>76</v>
      </c>
      <c r="D392">
        <v>48</v>
      </c>
      <c r="E392">
        <v>180</v>
      </c>
      <c r="F392">
        <v>32.9</v>
      </c>
      <c r="G392">
        <v>63</v>
      </c>
      <c r="H392">
        <v>0</v>
      </c>
      <c r="K392">
        <f t="shared" si="36"/>
        <v>0.5095792886816648</v>
      </c>
      <c r="L392">
        <f t="shared" si="37"/>
        <v>1.6645907354477998</v>
      </c>
      <c r="M392">
        <f t="shared" si="38"/>
        <v>0.37529215526298987</v>
      </c>
      <c r="N392">
        <f t="shared" si="39"/>
        <v>-0.98005047563625614</v>
      </c>
      <c r="O392">
        <f t="shared" si="40"/>
        <v>0.62470784473701013</v>
      </c>
      <c r="P392">
        <f t="shared" si="41"/>
        <v>1</v>
      </c>
    </row>
    <row r="393" spans="1:16">
      <c r="A393">
        <v>5</v>
      </c>
      <c r="B393">
        <v>121</v>
      </c>
      <c r="C393">
        <v>72</v>
      </c>
      <c r="D393">
        <v>23</v>
      </c>
      <c r="E393">
        <v>112</v>
      </c>
      <c r="F393">
        <v>26.2</v>
      </c>
      <c r="G393">
        <v>30</v>
      </c>
      <c r="H393">
        <v>0</v>
      </c>
      <c r="K393">
        <f t="shared" si="36"/>
        <v>0.25707515075796661</v>
      </c>
      <c r="L393">
        <f t="shared" si="37"/>
        <v>1.2931423037321303</v>
      </c>
      <c r="M393">
        <f t="shared" si="38"/>
        <v>0.43608283636496614</v>
      </c>
      <c r="N393">
        <f t="shared" si="39"/>
        <v>-0.8299230620164666</v>
      </c>
      <c r="O393">
        <f t="shared" si="40"/>
        <v>0.56391716363503386</v>
      </c>
      <c r="P393">
        <f t="shared" si="41"/>
        <v>0</v>
      </c>
    </row>
    <row r="394" spans="1:16">
      <c r="M394" t="s">
        <v>20</v>
      </c>
      <c r="N394">
        <f>SUM(N2:N393)</f>
        <v>-273.49008984437683</v>
      </c>
    </row>
  </sheetData>
  <mergeCells count="1">
    <mergeCell ref="I2:J2"/>
  </mergeCells>
  <conditionalFormatting sqref="S2:U4">
    <cfRule type="uniqu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F2D4B-2793-49B4-9F2F-A0D625D8461F}">
  <dimension ref="A1:OC401"/>
  <sheetViews>
    <sheetView tabSelected="1" topLeftCell="C10" workbookViewId="0">
      <selection activeCell="P33" sqref="P33"/>
    </sheetView>
  </sheetViews>
  <sheetFormatPr defaultRowHeight="14.4"/>
  <cols>
    <col min="1" max="1" width="14.6640625" bestFit="1" customWidth="1"/>
    <col min="2" max="2" width="18.21875" bestFit="1" customWidth="1"/>
    <col min="3" max="3" width="14.6640625" bestFit="1" customWidth="1"/>
    <col min="11" max="11" width="9.21875" bestFit="1" customWidth="1"/>
    <col min="12" max="13" width="12.21875" bestFit="1" customWidth="1"/>
    <col min="14" max="15" width="12.88671875" bestFit="1" customWidth="1"/>
    <col min="16" max="16" width="12.77734375" bestFit="1" customWidth="1"/>
    <col min="17" max="17" width="12.21875" bestFit="1" customWidth="1"/>
    <col min="18" max="18" width="12" bestFit="1" customWidth="1"/>
  </cols>
  <sheetData>
    <row r="1" spans="1:393">
      <c r="A1" s="1" t="s">
        <v>31</v>
      </c>
      <c r="B1" s="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  <c r="AI1">
        <v>1</v>
      </c>
      <c r="AJ1">
        <v>1</v>
      </c>
      <c r="AK1">
        <v>1</v>
      </c>
      <c r="AL1">
        <v>1</v>
      </c>
      <c r="AM1">
        <v>1</v>
      </c>
      <c r="AN1">
        <v>1</v>
      </c>
      <c r="AO1">
        <v>1</v>
      </c>
      <c r="AP1">
        <v>1</v>
      </c>
      <c r="AQ1">
        <v>1</v>
      </c>
      <c r="AR1">
        <v>1</v>
      </c>
      <c r="AS1">
        <v>1</v>
      </c>
      <c r="AT1">
        <v>1</v>
      </c>
      <c r="AU1">
        <v>1</v>
      </c>
      <c r="AV1">
        <v>1</v>
      </c>
      <c r="AW1">
        <v>1</v>
      </c>
      <c r="AX1">
        <v>1</v>
      </c>
      <c r="AY1">
        <v>1</v>
      </c>
      <c r="AZ1">
        <v>1</v>
      </c>
      <c r="BA1">
        <v>1</v>
      </c>
      <c r="BB1">
        <v>1</v>
      </c>
      <c r="BC1">
        <v>1</v>
      </c>
      <c r="BD1">
        <v>1</v>
      </c>
      <c r="BE1">
        <v>1</v>
      </c>
      <c r="BF1">
        <v>1</v>
      </c>
      <c r="BG1">
        <v>1</v>
      </c>
      <c r="BH1">
        <v>1</v>
      </c>
      <c r="BI1">
        <v>1</v>
      </c>
      <c r="BJ1">
        <v>1</v>
      </c>
      <c r="BK1">
        <v>1</v>
      </c>
      <c r="BL1">
        <v>1</v>
      </c>
      <c r="BM1">
        <v>1</v>
      </c>
      <c r="BN1">
        <v>1</v>
      </c>
      <c r="BO1">
        <v>1</v>
      </c>
      <c r="BP1">
        <v>1</v>
      </c>
      <c r="BQ1">
        <v>1</v>
      </c>
      <c r="BR1">
        <v>1</v>
      </c>
      <c r="BS1">
        <v>1</v>
      </c>
      <c r="BT1">
        <v>1</v>
      </c>
      <c r="BU1">
        <v>1</v>
      </c>
      <c r="BV1">
        <v>1</v>
      </c>
      <c r="BW1">
        <v>1</v>
      </c>
      <c r="BX1">
        <v>1</v>
      </c>
      <c r="BY1">
        <v>1</v>
      </c>
      <c r="BZ1">
        <v>1</v>
      </c>
      <c r="CA1">
        <v>1</v>
      </c>
      <c r="CB1">
        <v>1</v>
      </c>
      <c r="CC1">
        <v>1</v>
      </c>
      <c r="CD1">
        <v>1</v>
      </c>
      <c r="CE1">
        <v>1</v>
      </c>
      <c r="CF1">
        <v>1</v>
      </c>
      <c r="CG1">
        <v>1</v>
      </c>
      <c r="CH1">
        <v>1</v>
      </c>
      <c r="CI1">
        <v>1</v>
      </c>
      <c r="CJ1">
        <v>1</v>
      </c>
      <c r="CK1">
        <v>1</v>
      </c>
      <c r="CL1">
        <v>1</v>
      </c>
      <c r="CM1">
        <v>1</v>
      </c>
      <c r="CN1">
        <v>1</v>
      </c>
      <c r="CO1">
        <v>1</v>
      </c>
      <c r="CP1">
        <v>1</v>
      </c>
      <c r="CQ1">
        <v>1</v>
      </c>
      <c r="CR1">
        <v>1</v>
      </c>
      <c r="CS1">
        <v>1</v>
      </c>
      <c r="CT1">
        <v>1</v>
      </c>
      <c r="CU1">
        <v>1</v>
      </c>
      <c r="CV1">
        <v>1</v>
      </c>
      <c r="CW1">
        <v>1</v>
      </c>
      <c r="CX1">
        <v>1</v>
      </c>
      <c r="CY1">
        <v>1</v>
      </c>
      <c r="CZ1">
        <v>1</v>
      </c>
      <c r="DA1">
        <v>1</v>
      </c>
      <c r="DB1">
        <v>1</v>
      </c>
      <c r="DC1">
        <v>1</v>
      </c>
      <c r="DD1">
        <v>1</v>
      </c>
      <c r="DE1">
        <v>1</v>
      </c>
      <c r="DF1">
        <v>1</v>
      </c>
      <c r="DG1">
        <v>1</v>
      </c>
      <c r="DH1">
        <v>1</v>
      </c>
      <c r="DI1">
        <v>1</v>
      </c>
      <c r="DJ1">
        <v>1</v>
      </c>
      <c r="DK1">
        <v>1</v>
      </c>
      <c r="DL1">
        <v>1</v>
      </c>
      <c r="DM1">
        <v>1</v>
      </c>
      <c r="DN1">
        <v>1</v>
      </c>
      <c r="DO1">
        <v>1</v>
      </c>
      <c r="DP1">
        <v>1</v>
      </c>
      <c r="DQ1">
        <v>1</v>
      </c>
      <c r="DR1">
        <v>1</v>
      </c>
      <c r="DS1">
        <v>1</v>
      </c>
      <c r="DT1">
        <v>1</v>
      </c>
      <c r="DU1">
        <v>1</v>
      </c>
      <c r="DV1">
        <v>1</v>
      </c>
      <c r="DW1">
        <v>1</v>
      </c>
      <c r="DX1">
        <v>1</v>
      </c>
      <c r="DY1">
        <v>1</v>
      </c>
      <c r="DZ1">
        <v>1</v>
      </c>
      <c r="EA1">
        <v>1</v>
      </c>
      <c r="EB1">
        <v>1</v>
      </c>
      <c r="EC1">
        <v>1</v>
      </c>
      <c r="ED1">
        <v>1</v>
      </c>
      <c r="EE1">
        <v>1</v>
      </c>
      <c r="EF1">
        <v>1</v>
      </c>
      <c r="EG1">
        <v>1</v>
      </c>
      <c r="EH1">
        <v>1</v>
      </c>
      <c r="EI1">
        <v>1</v>
      </c>
      <c r="EJ1">
        <v>1</v>
      </c>
      <c r="EK1">
        <v>1</v>
      </c>
      <c r="EL1">
        <v>1</v>
      </c>
      <c r="EM1">
        <v>1</v>
      </c>
      <c r="EN1">
        <v>1</v>
      </c>
      <c r="EO1">
        <v>1</v>
      </c>
      <c r="EP1">
        <v>1</v>
      </c>
      <c r="EQ1">
        <v>1</v>
      </c>
      <c r="ER1">
        <v>1</v>
      </c>
      <c r="ES1">
        <v>1</v>
      </c>
      <c r="ET1">
        <v>1</v>
      </c>
      <c r="EU1">
        <v>1</v>
      </c>
      <c r="EV1">
        <v>1</v>
      </c>
      <c r="EW1">
        <v>1</v>
      </c>
      <c r="EX1">
        <v>1</v>
      </c>
      <c r="EY1">
        <v>1</v>
      </c>
      <c r="EZ1">
        <v>1</v>
      </c>
      <c r="FA1">
        <v>1</v>
      </c>
      <c r="FB1">
        <v>1</v>
      </c>
      <c r="FC1">
        <v>1</v>
      </c>
      <c r="FD1">
        <v>1</v>
      </c>
      <c r="FE1">
        <v>1</v>
      </c>
      <c r="FF1">
        <v>1</v>
      </c>
      <c r="FG1">
        <v>1</v>
      </c>
      <c r="FH1">
        <v>1</v>
      </c>
      <c r="FI1">
        <v>1</v>
      </c>
      <c r="FJ1">
        <v>1</v>
      </c>
      <c r="FK1">
        <v>1</v>
      </c>
      <c r="FL1">
        <v>1</v>
      </c>
      <c r="FM1">
        <v>1</v>
      </c>
      <c r="FN1">
        <v>1</v>
      </c>
      <c r="FO1">
        <v>1</v>
      </c>
      <c r="FP1">
        <v>1</v>
      </c>
      <c r="FQ1">
        <v>1</v>
      </c>
      <c r="FR1">
        <v>1</v>
      </c>
      <c r="FS1">
        <v>1</v>
      </c>
      <c r="FT1">
        <v>1</v>
      </c>
      <c r="FU1">
        <v>1</v>
      </c>
      <c r="FV1">
        <v>1</v>
      </c>
      <c r="FW1">
        <v>1</v>
      </c>
      <c r="FX1">
        <v>1</v>
      </c>
      <c r="FY1">
        <v>1</v>
      </c>
      <c r="FZ1">
        <v>1</v>
      </c>
      <c r="GA1">
        <v>1</v>
      </c>
      <c r="GB1">
        <v>1</v>
      </c>
      <c r="GC1">
        <v>1</v>
      </c>
      <c r="GD1">
        <v>1</v>
      </c>
      <c r="GE1">
        <v>1</v>
      </c>
      <c r="GF1">
        <v>1</v>
      </c>
      <c r="GG1">
        <v>1</v>
      </c>
      <c r="GH1">
        <v>1</v>
      </c>
      <c r="GI1">
        <v>1</v>
      </c>
      <c r="GJ1">
        <v>1</v>
      </c>
      <c r="GK1">
        <v>1</v>
      </c>
      <c r="GL1">
        <v>1</v>
      </c>
      <c r="GM1">
        <v>1</v>
      </c>
      <c r="GN1">
        <v>1</v>
      </c>
      <c r="GO1">
        <v>1</v>
      </c>
      <c r="GP1">
        <v>1</v>
      </c>
      <c r="GQ1">
        <v>1</v>
      </c>
      <c r="GR1">
        <v>1</v>
      </c>
      <c r="GS1">
        <v>1</v>
      </c>
      <c r="GT1">
        <v>1</v>
      </c>
      <c r="GU1">
        <v>1</v>
      </c>
      <c r="GV1">
        <v>1</v>
      </c>
      <c r="GW1">
        <v>1</v>
      </c>
      <c r="GX1">
        <v>1</v>
      </c>
      <c r="GY1">
        <v>1</v>
      </c>
      <c r="GZ1">
        <v>1</v>
      </c>
      <c r="HA1">
        <v>1</v>
      </c>
      <c r="HB1">
        <v>1</v>
      </c>
      <c r="HC1">
        <v>1</v>
      </c>
      <c r="HD1">
        <v>1</v>
      </c>
      <c r="HE1">
        <v>1</v>
      </c>
      <c r="HF1">
        <v>1</v>
      </c>
      <c r="HG1">
        <v>1</v>
      </c>
      <c r="HH1">
        <v>1</v>
      </c>
      <c r="HI1">
        <v>1</v>
      </c>
      <c r="HJ1">
        <v>1</v>
      </c>
      <c r="HK1">
        <v>1</v>
      </c>
      <c r="HL1">
        <v>1</v>
      </c>
      <c r="HM1">
        <v>1</v>
      </c>
      <c r="HN1">
        <v>1</v>
      </c>
      <c r="HO1">
        <v>1</v>
      </c>
      <c r="HP1">
        <v>1</v>
      </c>
      <c r="HQ1">
        <v>1</v>
      </c>
      <c r="HR1">
        <v>1</v>
      </c>
      <c r="HS1">
        <v>1</v>
      </c>
      <c r="HT1">
        <v>1</v>
      </c>
      <c r="HU1">
        <v>1</v>
      </c>
      <c r="HV1">
        <v>1</v>
      </c>
      <c r="HW1">
        <v>1</v>
      </c>
      <c r="HX1">
        <v>1</v>
      </c>
      <c r="HY1">
        <v>1</v>
      </c>
      <c r="HZ1">
        <v>1</v>
      </c>
      <c r="IA1">
        <v>1</v>
      </c>
      <c r="IB1">
        <v>1</v>
      </c>
      <c r="IC1">
        <v>1</v>
      </c>
      <c r="ID1">
        <v>1</v>
      </c>
      <c r="IE1">
        <v>1</v>
      </c>
      <c r="IF1">
        <v>1</v>
      </c>
      <c r="IG1">
        <v>1</v>
      </c>
      <c r="IH1">
        <v>1</v>
      </c>
      <c r="II1">
        <v>1</v>
      </c>
      <c r="IJ1">
        <v>1</v>
      </c>
      <c r="IK1">
        <v>1</v>
      </c>
      <c r="IL1">
        <v>1</v>
      </c>
      <c r="IM1">
        <v>1</v>
      </c>
      <c r="IN1">
        <v>1</v>
      </c>
      <c r="IO1">
        <v>1</v>
      </c>
      <c r="IP1">
        <v>1</v>
      </c>
      <c r="IQ1">
        <v>1</v>
      </c>
      <c r="IR1">
        <v>1</v>
      </c>
      <c r="IS1">
        <v>1</v>
      </c>
      <c r="IT1">
        <v>1</v>
      </c>
      <c r="IU1">
        <v>1</v>
      </c>
      <c r="IV1">
        <v>1</v>
      </c>
      <c r="IW1">
        <v>1</v>
      </c>
      <c r="IX1">
        <v>1</v>
      </c>
      <c r="IY1">
        <v>1</v>
      </c>
      <c r="IZ1">
        <v>1</v>
      </c>
      <c r="JA1">
        <v>1</v>
      </c>
      <c r="JB1">
        <v>1</v>
      </c>
      <c r="JC1">
        <v>1</v>
      </c>
      <c r="JD1">
        <v>1</v>
      </c>
      <c r="JE1">
        <v>1</v>
      </c>
      <c r="JF1">
        <v>1</v>
      </c>
      <c r="JG1">
        <v>1</v>
      </c>
      <c r="JH1">
        <v>1</v>
      </c>
      <c r="JI1">
        <v>1</v>
      </c>
      <c r="JJ1">
        <v>1</v>
      </c>
      <c r="JK1">
        <v>1</v>
      </c>
      <c r="JL1">
        <v>1</v>
      </c>
      <c r="JM1">
        <v>1</v>
      </c>
      <c r="JN1">
        <v>1</v>
      </c>
      <c r="JO1">
        <v>1</v>
      </c>
      <c r="JP1">
        <v>1</v>
      </c>
      <c r="JQ1">
        <v>1</v>
      </c>
      <c r="JR1">
        <v>1</v>
      </c>
      <c r="JS1">
        <v>1</v>
      </c>
      <c r="JT1">
        <v>1</v>
      </c>
      <c r="JU1">
        <v>1</v>
      </c>
      <c r="JV1">
        <v>1</v>
      </c>
      <c r="JW1">
        <v>1</v>
      </c>
      <c r="JX1">
        <v>1</v>
      </c>
      <c r="JY1">
        <v>1</v>
      </c>
      <c r="JZ1">
        <v>1</v>
      </c>
      <c r="KA1">
        <v>1</v>
      </c>
      <c r="KB1">
        <v>1</v>
      </c>
      <c r="KC1">
        <v>1</v>
      </c>
      <c r="KD1">
        <v>1</v>
      </c>
      <c r="KE1">
        <v>1</v>
      </c>
      <c r="KF1">
        <v>1</v>
      </c>
      <c r="KG1">
        <v>1</v>
      </c>
      <c r="KH1">
        <v>1</v>
      </c>
      <c r="KI1">
        <v>1</v>
      </c>
      <c r="KJ1">
        <v>1</v>
      </c>
      <c r="KK1">
        <v>1</v>
      </c>
      <c r="KL1">
        <v>1</v>
      </c>
      <c r="KM1">
        <v>1</v>
      </c>
      <c r="KN1">
        <v>1</v>
      </c>
      <c r="KO1">
        <v>1</v>
      </c>
      <c r="KP1">
        <v>1</v>
      </c>
      <c r="KQ1">
        <v>1</v>
      </c>
      <c r="KR1">
        <v>1</v>
      </c>
      <c r="KS1">
        <v>1</v>
      </c>
      <c r="KT1">
        <v>1</v>
      </c>
      <c r="KU1">
        <v>1</v>
      </c>
      <c r="KV1">
        <v>1</v>
      </c>
      <c r="KW1">
        <v>1</v>
      </c>
      <c r="KX1">
        <v>1</v>
      </c>
      <c r="KY1">
        <v>1</v>
      </c>
      <c r="KZ1">
        <v>1</v>
      </c>
      <c r="LA1">
        <v>1</v>
      </c>
      <c r="LB1">
        <v>1</v>
      </c>
      <c r="LC1">
        <v>1</v>
      </c>
      <c r="LD1">
        <v>1</v>
      </c>
      <c r="LE1">
        <v>1</v>
      </c>
      <c r="LF1">
        <v>1</v>
      </c>
      <c r="LG1">
        <v>1</v>
      </c>
      <c r="LH1">
        <v>1</v>
      </c>
      <c r="LI1">
        <v>1</v>
      </c>
      <c r="LJ1">
        <v>1</v>
      </c>
      <c r="LK1">
        <v>1</v>
      </c>
      <c r="LL1">
        <v>1</v>
      </c>
      <c r="LM1">
        <v>1</v>
      </c>
      <c r="LN1">
        <v>1</v>
      </c>
      <c r="LO1">
        <v>1</v>
      </c>
      <c r="LP1">
        <v>1</v>
      </c>
      <c r="LQ1">
        <v>1</v>
      </c>
      <c r="LR1">
        <v>1</v>
      </c>
      <c r="LS1">
        <v>1</v>
      </c>
      <c r="LT1">
        <v>1</v>
      </c>
      <c r="LU1">
        <v>1</v>
      </c>
      <c r="LV1">
        <v>1</v>
      </c>
      <c r="LW1">
        <v>1</v>
      </c>
      <c r="LX1">
        <v>1</v>
      </c>
      <c r="LY1">
        <v>1</v>
      </c>
      <c r="LZ1">
        <v>1</v>
      </c>
      <c r="MA1">
        <v>1</v>
      </c>
      <c r="MB1">
        <v>1</v>
      </c>
      <c r="MC1">
        <v>1</v>
      </c>
      <c r="MD1">
        <v>1</v>
      </c>
      <c r="ME1">
        <v>1</v>
      </c>
      <c r="MF1">
        <v>1</v>
      </c>
      <c r="MG1">
        <v>1</v>
      </c>
      <c r="MH1">
        <v>1</v>
      </c>
      <c r="MI1">
        <v>1</v>
      </c>
      <c r="MJ1">
        <v>1</v>
      </c>
      <c r="MK1">
        <v>1</v>
      </c>
      <c r="ML1">
        <v>1</v>
      </c>
      <c r="MM1">
        <v>1</v>
      </c>
      <c r="MN1">
        <v>1</v>
      </c>
      <c r="MO1">
        <v>1</v>
      </c>
      <c r="MP1">
        <v>1</v>
      </c>
      <c r="MQ1">
        <v>1</v>
      </c>
      <c r="MR1">
        <v>1</v>
      </c>
      <c r="MS1">
        <v>1</v>
      </c>
      <c r="MT1">
        <v>1</v>
      </c>
      <c r="MU1">
        <v>1</v>
      </c>
      <c r="MV1">
        <v>1</v>
      </c>
      <c r="MW1">
        <v>1</v>
      </c>
      <c r="MX1">
        <v>1</v>
      </c>
      <c r="MY1">
        <v>1</v>
      </c>
      <c r="MZ1">
        <v>1</v>
      </c>
      <c r="NA1">
        <v>1</v>
      </c>
      <c r="NB1">
        <v>1</v>
      </c>
      <c r="NC1">
        <v>1</v>
      </c>
      <c r="ND1">
        <v>1</v>
      </c>
      <c r="NE1">
        <v>1</v>
      </c>
      <c r="NF1">
        <v>1</v>
      </c>
      <c r="NG1">
        <v>1</v>
      </c>
      <c r="NH1">
        <v>1</v>
      </c>
      <c r="NI1">
        <v>1</v>
      </c>
      <c r="NJ1">
        <v>1</v>
      </c>
      <c r="NK1">
        <v>1</v>
      </c>
      <c r="NL1">
        <v>1</v>
      </c>
      <c r="NM1">
        <v>1</v>
      </c>
      <c r="NN1">
        <v>1</v>
      </c>
      <c r="NO1">
        <v>1</v>
      </c>
      <c r="NP1">
        <v>1</v>
      </c>
      <c r="NQ1">
        <v>1</v>
      </c>
      <c r="NR1">
        <v>1</v>
      </c>
      <c r="NS1">
        <v>1</v>
      </c>
      <c r="NT1">
        <v>1</v>
      </c>
      <c r="NU1">
        <v>1</v>
      </c>
      <c r="NV1">
        <v>1</v>
      </c>
      <c r="NW1">
        <v>1</v>
      </c>
      <c r="NX1">
        <v>1</v>
      </c>
      <c r="NY1">
        <v>1</v>
      </c>
      <c r="NZ1">
        <v>1</v>
      </c>
      <c r="OA1">
        <v>1</v>
      </c>
      <c r="OB1">
        <v>1</v>
      </c>
      <c r="OC1">
        <v>1</v>
      </c>
    </row>
    <row r="2" spans="1:393">
      <c r="A2" s="1" t="s">
        <v>0</v>
      </c>
      <c r="B2">
        <v>1</v>
      </c>
      <c r="C2">
        <v>0</v>
      </c>
      <c r="D2">
        <v>3</v>
      </c>
      <c r="E2">
        <v>2</v>
      </c>
      <c r="F2">
        <v>1</v>
      </c>
      <c r="G2">
        <v>5</v>
      </c>
      <c r="H2">
        <v>0</v>
      </c>
      <c r="I2">
        <v>1</v>
      </c>
      <c r="J2">
        <v>1</v>
      </c>
      <c r="K2">
        <v>3</v>
      </c>
      <c r="L2">
        <v>11</v>
      </c>
      <c r="M2">
        <v>10</v>
      </c>
      <c r="N2">
        <v>1</v>
      </c>
      <c r="O2">
        <v>13</v>
      </c>
      <c r="P2">
        <v>3</v>
      </c>
      <c r="Q2">
        <v>3</v>
      </c>
      <c r="R2">
        <v>4</v>
      </c>
      <c r="S2">
        <v>4</v>
      </c>
      <c r="T2">
        <v>3</v>
      </c>
      <c r="U2">
        <v>9</v>
      </c>
      <c r="V2">
        <v>1</v>
      </c>
      <c r="W2">
        <v>1</v>
      </c>
      <c r="X2">
        <v>5</v>
      </c>
      <c r="Y2">
        <v>8</v>
      </c>
      <c r="Z2">
        <v>7</v>
      </c>
      <c r="AA2">
        <v>7</v>
      </c>
      <c r="AB2">
        <v>0</v>
      </c>
      <c r="AC2">
        <v>0</v>
      </c>
      <c r="AD2">
        <v>2</v>
      </c>
      <c r="AE2">
        <v>1</v>
      </c>
      <c r="AF2">
        <v>4</v>
      </c>
      <c r="AG2">
        <v>2</v>
      </c>
      <c r="AH2">
        <v>5</v>
      </c>
      <c r="AI2">
        <v>4</v>
      </c>
      <c r="AJ2">
        <v>7</v>
      </c>
      <c r="AK2">
        <v>2</v>
      </c>
      <c r="AL2">
        <v>2</v>
      </c>
      <c r="AM2">
        <v>15</v>
      </c>
      <c r="AN2">
        <v>4</v>
      </c>
      <c r="AO2">
        <v>7</v>
      </c>
      <c r="AP2">
        <v>2</v>
      </c>
      <c r="AQ2">
        <v>6</v>
      </c>
      <c r="AR2">
        <v>1</v>
      </c>
      <c r="AS2">
        <v>6</v>
      </c>
      <c r="AT2">
        <v>1</v>
      </c>
      <c r="AU2">
        <v>1</v>
      </c>
      <c r="AV2">
        <v>1</v>
      </c>
      <c r="AW2">
        <v>4</v>
      </c>
      <c r="AX2">
        <v>3</v>
      </c>
      <c r="AY2">
        <v>0</v>
      </c>
      <c r="AZ2">
        <v>3</v>
      </c>
      <c r="BA2">
        <v>8</v>
      </c>
      <c r="BB2">
        <v>1</v>
      </c>
      <c r="BC2">
        <v>7</v>
      </c>
      <c r="BD2">
        <v>4</v>
      </c>
      <c r="BE2">
        <v>0</v>
      </c>
      <c r="BF2">
        <v>2</v>
      </c>
      <c r="BG2">
        <v>1</v>
      </c>
      <c r="BH2">
        <v>3</v>
      </c>
      <c r="BI2">
        <v>1</v>
      </c>
      <c r="BJ2">
        <v>1</v>
      </c>
      <c r="BK2">
        <v>4</v>
      </c>
      <c r="BL2">
        <v>3</v>
      </c>
      <c r="BM2">
        <v>2</v>
      </c>
      <c r="BN2">
        <v>2</v>
      </c>
      <c r="BO2">
        <v>0</v>
      </c>
      <c r="BP2">
        <v>0</v>
      </c>
      <c r="BQ2">
        <v>5</v>
      </c>
      <c r="BR2">
        <v>2</v>
      </c>
      <c r="BS2">
        <v>4</v>
      </c>
      <c r="BT2">
        <v>2</v>
      </c>
      <c r="BU2">
        <v>1</v>
      </c>
      <c r="BV2">
        <v>9</v>
      </c>
      <c r="BW2">
        <v>1</v>
      </c>
      <c r="BX2">
        <v>2</v>
      </c>
      <c r="BY2">
        <v>1</v>
      </c>
      <c r="BZ2">
        <v>2</v>
      </c>
      <c r="CA2">
        <v>17</v>
      </c>
      <c r="CB2">
        <v>7</v>
      </c>
      <c r="CC2">
        <v>0</v>
      </c>
      <c r="CD2">
        <v>6</v>
      </c>
      <c r="CE2">
        <v>3</v>
      </c>
      <c r="CF2">
        <v>6</v>
      </c>
      <c r="CG2">
        <v>1</v>
      </c>
      <c r="CH2">
        <v>2</v>
      </c>
      <c r="CI2">
        <v>8</v>
      </c>
      <c r="CJ2">
        <v>0</v>
      </c>
      <c r="CK2">
        <v>0</v>
      </c>
      <c r="CL2">
        <v>8</v>
      </c>
      <c r="CM2">
        <v>1</v>
      </c>
      <c r="CN2">
        <v>8</v>
      </c>
      <c r="CO2">
        <v>5</v>
      </c>
      <c r="CP2">
        <v>9</v>
      </c>
      <c r="CQ2">
        <v>5</v>
      </c>
      <c r="CR2">
        <v>3</v>
      </c>
      <c r="CS2">
        <v>4</v>
      </c>
      <c r="CT2">
        <v>4</v>
      </c>
      <c r="CU2">
        <v>2</v>
      </c>
      <c r="CV2">
        <v>6</v>
      </c>
      <c r="CW2">
        <v>8</v>
      </c>
      <c r="CX2">
        <v>1</v>
      </c>
      <c r="CY2">
        <v>0</v>
      </c>
      <c r="CZ2">
        <v>9</v>
      </c>
      <c r="DA2">
        <v>12</v>
      </c>
      <c r="DB2">
        <v>5</v>
      </c>
      <c r="DC2">
        <v>6</v>
      </c>
      <c r="DD2">
        <v>0</v>
      </c>
      <c r="DE2">
        <v>7</v>
      </c>
      <c r="DF2">
        <v>1</v>
      </c>
      <c r="DG2">
        <v>1</v>
      </c>
      <c r="DH2">
        <v>4</v>
      </c>
      <c r="DI2">
        <v>0</v>
      </c>
      <c r="DJ2">
        <v>6</v>
      </c>
      <c r="DK2">
        <v>1</v>
      </c>
      <c r="DL2">
        <v>3</v>
      </c>
      <c r="DM2">
        <v>7</v>
      </c>
      <c r="DN2">
        <v>4</v>
      </c>
      <c r="DO2">
        <v>6</v>
      </c>
      <c r="DP2">
        <v>2</v>
      </c>
      <c r="DQ2">
        <v>0</v>
      </c>
      <c r="DR2">
        <v>9</v>
      </c>
      <c r="DS2">
        <v>2</v>
      </c>
      <c r="DT2">
        <v>12</v>
      </c>
      <c r="DU2">
        <v>1</v>
      </c>
      <c r="DV2">
        <v>11</v>
      </c>
      <c r="DW2">
        <v>3</v>
      </c>
      <c r="DX2">
        <v>5</v>
      </c>
      <c r="DY2">
        <v>2</v>
      </c>
      <c r="DZ2">
        <v>1</v>
      </c>
      <c r="EA2">
        <v>2</v>
      </c>
      <c r="EB2">
        <v>0</v>
      </c>
      <c r="EC2">
        <v>2</v>
      </c>
      <c r="ED2">
        <v>10</v>
      </c>
      <c r="EE2">
        <v>7</v>
      </c>
      <c r="EF2">
        <v>7</v>
      </c>
      <c r="EG2">
        <v>5</v>
      </c>
      <c r="EH2">
        <v>1</v>
      </c>
      <c r="EI2">
        <v>4</v>
      </c>
      <c r="EJ2">
        <v>5</v>
      </c>
      <c r="EK2">
        <v>0</v>
      </c>
      <c r="EL2">
        <v>0</v>
      </c>
      <c r="EM2">
        <v>2</v>
      </c>
      <c r="EN2">
        <v>1</v>
      </c>
      <c r="EO2">
        <v>6</v>
      </c>
      <c r="EP2">
        <v>2</v>
      </c>
      <c r="EQ2">
        <v>0</v>
      </c>
      <c r="ER2">
        <v>14</v>
      </c>
      <c r="ES2">
        <v>2</v>
      </c>
      <c r="ET2">
        <v>5</v>
      </c>
      <c r="EU2">
        <v>2</v>
      </c>
      <c r="EV2">
        <v>10</v>
      </c>
      <c r="EW2">
        <v>0</v>
      </c>
      <c r="EX2">
        <v>0</v>
      </c>
      <c r="EY2">
        <v>2</v>
      </c>
      <c r="EZ2">
        <v>0</v>
      </c>
      <c r="FA2">
        <v>2</v>
      </c>
      <c r="FB2">
        <v>3</v>
      </c>
      <c r="FC2">
        <v>2</v>
      </c>
      <c r="FD2">
        <v>3</v>
      </c>
      <c r="FE2">
        <v>3</v>
      </c>
      <c r="FF2">
        <v>4</v>
      </c>
      <c r="FG2">
        <v>13</v>
      </c>
      <c r="FH2">
        <v>1</v>
      </c>
      <c r="FI2">
        <v>1</v>
      </c>
      <c r="FJ2">
        <v>2</v>
      </c>
      <c r="FK2">
        <v>6</v>
      </c>
      <c r="FL2">
        <v>2</v>
      </c>
      <c r="FM2">
        <v>1</v>
      </c>
      <c r="FN2">
        <v>0</v>
      </c>
      <c r="FO2">
        <v>9</v>
      </c>
      <c r="FP2">
        <v>1</v>
      </c>
      <c r="FQ2">
        <v>1</v>
      </c>
      <c r="FR2">
        <v>8</v>
      </c>
      <c r="FS2">
        <v>1</v>
      </c>
      <c r="FT2">
        <v>3</v>
      </c>
      <c r="FU2">
        <v>1</v>
      </c>
      <c r="FV2">
        <v>1</v>
      </c>
      <c r="FW2">
        <v>12</v>
      </c>
      <c r="FX2">
        <v>1</v>
      </c>
      <c r="FY2">
        <v>5</v>
      </c>
      <c r="FZ2">
        <v>4</v>
      </c>
      <c r="GA2">
        <v>5</v>
      </c>
      <c r="GB2">
        <v>3</v>
      </c>
      <c r="GC2">
        <v>1</v>
      </c>
      <c r="GD2">
        <v>3</v>
      </c>
      <c r="GE2">
        <v>0</v>
      </c>
      <c r="GF2">
        <v>2</v>
      </c>
      <c r="GG2">
        <v>2</v>
      </c>
      <c r="GH2">
        <v>12</v>
      </c>
      <c r="GI2">
        <v>0</v>
      </c>
      <c r="GJ2">
        <v>1</v>
      </c>
      <c r="GK2">
        <v>0</v>
      </c>
      <c r="GL2">
        <v>1</v>
      </c>
      <c r="GM2">
        <v>1</v>
      </c>
      <c r="GN2">
        <v>1</v>
      </c>
      <c r="GO2">
        <v>1</v>
      </c>
      <c r="GP2">
        <v>1</v>
      </c>
      <c r="GQ2">
        <v>5</v>
      </c>
      <c r="GR2">
        <v>3</v>
      </c>
      <c r="GS2">
        <v>1</v>
      </c>
      <c r="GT2">
        <v>1</v>
      </c>
      <c r="GU2">
        <v>4</v>
      </c>
      <c r="GV2">
        <v>2</v>
      </c>
      <c r="GW2">
        <v>3</v>
      </c>
      <c r="GX2">
        <v>5</v>
      </c>
      <c r="GY2">
        <v>2</v>
      </c>
      <c r="GZ2">
        <v>1</v>
      </c>
      <c r="HA2">
        <v>1</v>
      </c>
      <c r="HB2">
        <v>1</v>
      </c>
      <c r="HC2">
        <v>1</v>
      </c>
      <c r="HD2">
        <v>0</v>
      </c>
      <c r="HE2">
        <v>3</v>
      </c>
      <c r="HF2">
        <v>3</v>
      </c>
      <c r="HG2">
        <v>1</v>
      </c>
      <c r="HH2">
        <v>2</v>
      </c>
      <c r="HI2">
        <v>0</v>
      </c>
      <c r="HJ2">
        <v>8</v>
      </c>
      <c r="HK2">
        <v>4</v>
      </c>
      <c r="HL2">
        <v>1</v>
      </c>
      <c r="HM2">
        <v>0</v>
      </c>
      <c r="HN2">
        <v>1</v>
      </c>
      <c r="HO2">
        <v>3</v>
      </c>
      <c r="HP2">
        <v>1</v>
      </c>
      <c r="HQ2">
        <v>2</v>
      </c>
      <c r="HR2">
        <v>4</v>
      </c>
      <c r="HS2">
        <v>0</v>
      </c>
      <c r="HT2">
        <v>1</v>
      </c>
      <c r="HU2">
        <v>0</v>
      </c>
      <c r="HV2">
        <v>0</v>
      </c>
      <c r="HW2">
        <v>0</v>
      </c>
      <c r="HX2">
        <v>1</v>
      </c>
      <c r="HY2">
        <v>0</v>
      </c>
      <c r="HZ2">
        <v>2</v>
      </c>
      <c r="IA2">
        <v>5</v>
      </c>
      <c r="IB2">
        <v>10</v>
      </c>
      <c r="IC2">
        <v>9</v>
      </c>
      <c r="ID2">
        <v>9</v>
      </c>
      <c r="IE2">
        <v>8</v>
      </c>
      <c r="IF2">
        <v>0</v>
      </c>
      <c r="IG2">
        <v>0</v>
      </c>
      <c r="IH2">
        <v>0</v>
      </c>
      <c r="II2">
        <v>6</v>
      </c>
      <c r="IJ2">
        <v>2</v>
      </c>
      <c r="IK2">
        <v>7</v>
      </c>
      <c r="IL2">
        <v>8</v>
      </c>
      <c r="IM2">
        <v>3</v>
      </c>
      <c r="IN2">
        <v>4</v>
      </c>
      <c r="IO2">
        <v>0</v>
      </c>
      <c r="IP2">
        <v>0</v>
      </c>
      <c r="IQ2">
        <v>1</v>
      </c>
      <c r="IR2">
        <v>0</v>
      </c>
      <c r="IS2">
        <v>2</v>
      </c>
      <c r="IT2">
        <v>4</v>
      </c>
      <c r="IU2">
        <v>2</v>
      </c>
      <c r="IV2">
        <v>7</v>
      </c>
      <c r="IW2">
        <v>6</v>
      </c>
      <c r="IX2">
        <v>2</v>
      </c>
      <c r="IY2">
        <v>7</v>
      </c>
      <c r="IZ2">
        <v>0</v>
      </c>
      <c r="JA2">
        <v>1</v>
      </c>
      <c r="JB2">
        <v>2</v>
      </c>
      <c r="JC2">
        <v>0</v>
      </c>
      <c r="JD2">
        <v>3</v>
      </c>
      <c r="JE2">
        <v>3</v>
      </c>
      <c r="JF2">
        <v>9</v>
      </c>
      <c r="JG2">
        <v>6</v>
      </c>
      <c r="JH2">
        <v>2</v>
      </c>
      <c r="JI2">
        <v>3</v>
      </c>
      <c r="JJ2">
        <v>1</v>
      </c>
      <c r="JK2">
        <v>3</v>
      </c>
      <c r="JL2">
        <v>0</v>
      </c>
      <c r="JM2">
        <v>2</v>
      </c>
      <c r="JN2">
        <v>1</v>
      </c>
      <c r="JO2">
        <v>1</v>
      </c>
      <c r="JP2">
        <v>0</v>
      </c>
      <c r="JQ2">
        <v>3</v>
      </c>
      <c r="JR2">
        <v>8</v>
      </c>
      <c r="JS2">
        <v>3</v>
      </c>
      <c r="JT2">
        <v>4</v>
      </c>
      <c r="JU2">
        <v>1</v>
      </c>
      <c r="JV2">
        <v>8</v>
      </c>
      <c r="JW2">
        <v>5</v>
      </c>
      <c r="JX2">
        <v>4</v>
      </c>
      <c r="JY2">
        <v>1</v>
      </c>
      <c r="JZ2">
        <v>3</v>
      </c>
      <c r="KA2">
        <v>1</v>
      </c>
      <c r="KB2">
        <v>1</v>
      </c>
      <c r="KC2">
        <v>7</v>
      </c>
      <c r="KD2">
        <v>0</v>
      </c>
      <c r="KE2">
        <v>1</v>
      </c>
      <c r="KF2">
        <v>6</v>
      </c>
      <c r="KG2">
        <v>2</v>
      </c>
      <c r="KH2">
        <v>1</v>
      </c>
      <c r="KI2">
        <v>6</v>
      </c>
      <c r="KJ2">
        <v>4</v>
      </c>
      <c r="KK2">
        <v>0</v>
      </c>
      <c r="KL2">
        <v>3</v>
      </c>
      <c r="KM2">
        <v>2</v>
      </c>
      <c r="KN2">
        <v>1</v>
      </c>
      <c r="KO2">
        <v>1</v>
      </c>
      <c r="KP2">
        <v>6</v>
      </c>
      <c r="KQ2">
        <v>8</v>
      </c>
      <c r="KR2">
        <v>3</v>
      </c>
      <c r="KS2">
        <v>2</v>
      </c>
      <c r="KT2">
        <v>2</v>
      </c>
      <c r="KU2">
        <v>6</v>
      </c>
      <c r="KV2">
        <v>0</v>
      </c>
      <c r="KW2">
        <v>1</v>
      </c>
      <c r="KX2">
        <v>1</v>
      </c>
      <c r="KY2">
        <v>7</v>
      </c>
      <c r="KZ2">
        <v>1</v>
      </c>
      <c r="LA2">
        <v>1</v>
      </c>
      <c r="LB2">
        <v>0</v>
      </c>
      <c r="LC2">
        <v>1</v>
      </c>
      <c r="LD2">
        <v>3</v>
      </c>
      <c r="LE2">
        <v>3</v>
      </c>
      <c r="LF2">
        <v>7</v>
      </c>
      <c r="LG2">
        <v>11</v>
      </c>
      <c r="LH2">
        <v>2</v>
      </c>
      <c r="LI2">
        <v>2</v>
      </c>
      <c r="LJ2">
        <v>0</v>
      </c>
      <c r="LK2">
        <v>4</v>
      </c>
      <c r="LL2">
        <v>0</v>
      </c>
      <c r="LM2">
        <v>1</v>
      </c>
      <c r="LN2">
        <v>2</v>
      </c>
      <c r="LO2">
        <v>7</v>
      </c>
      <c r="LP2">
        <v>1</v>
      </c>
      <c r="LQ2">
        <v>0</v>
      </c>
      <c r="LR2">
        <v>3</v>
      </c>
      <c r="LS2">
        <v>2</v>
      </c>
      <c r="LT2">
        <v>1</v>
      </c>
      <c r="LU2">
        <v>0</v>
      </c>
      <c r="LV2">
        <v>11</v>
      </c>
      <c r="LW2">
        <v>1</v>
      </c>
      <c r="LX2">
        <v>1</v>
      </c>
      <c r="LY2">
        <v>5</v>
      </c>
      <c r="LZ2">
        <v>1</v>
      </c>
      <c r="MA2">
        <v>2</v>
      </c>
      <c r="MB2">
        <v>2</v>
      </c>
      <c r="MC2">
        <v>1</v>
      </c>
      <c r="MD2">
        <v>3</v>
      </c>
      <c r="ME2">
        <v>8</v>
      </c>
      <c r="MF2">
        <v>9</v>
      </c>
      <c r="MG2">
        <v>1</v>
      </c>
      <c r="MH2">
        <v>6</v>
      </c>
      <c r="MI2">
        <v>9</v>
      </c>
      <c r="MJ2">
        <v>6</v>
      </c>
      <c r="MK2">
        <v>10</v>
      </c>
      <c r="ML2">
        <v>3</v>
      </c>
      <c r="MM2">
        <v>2</v>
      </c>
      <c r="MN2">
        <v>2</v>
      </c>
      <c r="MO2">
        <v>0</v>
      </c>
      <c r="MP2">
        <v>2</v>
      </c>
      <c r="MQ2">
        <v>1</v>
      </c>
      <c r="MR2">
        <v>1</v>
      </c>
      <c r="MS2">
        <v>2</v>
      </c>
      <c r="MT2">
        <v>7</v>
      </c>
      <c r="MU2">
        <v>7</v>
      </c>
      <c r="MV2">
        <v>3</v>
      </c>
      <c r="MW2">
        <v>4</v>
      </c>
      <c r="MX2">
        <v>2</v>
      </c>
      <c r="MY2">
        <v>4</v>
      </c>
      <c r="MZ2">
        <v>2</v>
      </c>
      <c r="NA2">
        <v>2</v>
      </c>
      <c r="NB2">
        <v>3</v>
      </c>
      <c r="NC2">
        <v>5</v>
      </c>
      <c r="ND2">
        <v>0</v>
      </c>
      <c r="NE2">
        <v>7</v>
      </c>
      <c r="NF2">
        <v>3</v>
      </c>
      <c r="NG2">
        <v>1</v>
      </c>
      <c r="NH2">
        <v>1</v>
      </c>
      <c r="NI2">
        <v>1</v>
      </c>
      <c r="NJ2">
        <v>5</v>
      </c>
      <c r="NK2">
        <v>1</v>
      </c>
      <c r="NL2">
        <v>3</v>
      </c>
      <c r="NM2">
        <v>2</v>
      </c>
      <c r="NN2">
        <v>2</v>
      </c>
      <c r="NO2">
        <v>0</v>
      </c>
      <c r="NP2">
        <v>2</v>
      </c>
      <c r="NQ2">
        <v>11</v>
      </c>
      <c r="NR2">
        <v>3</v>
      </c>
      <c r="NS2">
        <v>1</v>
      </c>
      <c r="NT2">
        <v>13</v>
      </c>
      <c r="NU2">
        <v>12</v>
      </c>
      <c r="NV2">
        <v>1</v>
      </c>
      <c r="NW2">
        <v>3</v>
      </c>
      <c r="NX2">
        <v>1</v>
      </c>
      <c r="NY2">
        <v>0</v>
      </c>
      <c r="NZ2">
        <v>1</v>
      </c>
      <c r="OA2">
        <v>2</v>
      </c>
      <c r="OB2">
        <v>10</v>
      </c>
      <c r="OC2">
        <v>5</v>
      </c>
    </row>
    <row r="3" spans="1:393">
      <c r="A3" s="1" t="s">
        <v>1</v>
      </c>
      <c r="B3">
        <v>89</v>
      </c>
      <c r="C3">
        <v>137</v>
      </c>
      <c r="D3">
        <v>78</v>
      </c>
      <c r="E3">
        <v>197</v>
      </c>
      <c r="F3">
        <v>189</v>
      </c>
      <c r="G3">
        <v>166</v>
      </c>
      <c r="H3">
        <v>118</v>
      </c>
      <c r="I3">
        <v>103</v>
      </c>
      <c r="J3">
        <v>115</v>
      </c>
      <c r="K3">
        <v>126</v>
      </c>
      <c r="L3">
        <v>143</v>
      </c>
      <c r="M3">
        <v>125</v>
      </c>
      <c r="N3">
        <v>97</v>
      </c>
      <c r="O3">
        <v>145</v>
      </c>
      <c r="P3">
        <v>158</v>
      </c>
      <c r="Q3">
        <v>88</v>
      </c>
      <c r="R3">
        <v>103</v>
      </c>
      <c r="S3">
        <v>111</v>
      </c>
      <c r="T3">
        <v>180</v>
      </c>
      <c r="U3">
        <v>171</v>
      </c>
      <c r="V3">
        <v>103</v>
      </c>
      <c r="W3">
        <v>101</v>
      </c>
      <c r="X3">
        <v>88</v>
      </c>
      <c r="Y3">
        <v>176</v>
      </c>
      <c r="Z3">
        <v>150</v>
      </c>
      <c r="AA3">
        <v>187</v>
      </c>
      <c r="AB3">
        <v>100</v>
      </c>
      <c r="AC3">
        <v>105</v>
      </c>
      <c r="AD3">
        <v>141</v>
      </c>
      <c r="AE3">
        <v>95</v>
      </c>
      <c r="AF3">
        <v>146</v>
      </c>
      <c r="AG3">
        <v>100</v>
      </c>
      <c r="AH3">
        <v>139</v>
      </c>
      <c r="AI3">
        <v>129</v>
      </c>
      <c r="AJ3">
        <v>83</v>
      </c>
      <c r="AK3">
        <v>110</v>
      </c>
      <c r="AL3">
        <v>100</v>
      </c>
      <c r="AM3">
        <v>136</v>
      </c>
      <c r="AN3">
        <v>123</v>
      </c>
      <c r="AO3">
        <v>81</v>
      </c>
      <c r="AP3">
        <v>142</v>
      </c>
      <c r="AQ3">
        <v>144</v>
      </c>
      <c r="AR3">
        <v>71</v>
      </c>
      <c r="AS3">
        <v>93</v>
      </c>
      <c r="AT3">
        <v>122</v>
      </c>
      <c r="AU3">
        <v>81</v>
      </c>
      <c r="AV3">
        <v>126</v>
      </c>
      <c r="AW3">
        <v>144</v>
      </c>
      <c r="AX3">
        <v>83</v>
      </c>
      <c r="AY3">
        <v>95</v>
      </c>
      <c r="AZ3">
        <v>171</v>
      </c>
      <c r="BA3">
        <v>155</v>
      </c>
      <c r="BB3">
        <v>89</v>
      </c>
      <c r="BC3">
        <v>160</v>
      </c>
      <c r="BD3">
        <v>99</v>
      </c>
      <c r="BE3">
        <v>162</v>
      </c>
      <c r="BF3">
        <v>107</v>
      </c>
      <c r="BG3">
        <v>88</v>
      </c>
      <c r="BH3">
        <v>120</v>
      </c>
      <c r="BI3">
        <v>118</v>
      </c>
      <c r="BJ3">
        <v>117</v>
      </c>
      <c r="BK3">
        <v>173</v>
      </c>
      <c r="BL3">
        <v>170</v>
      </c>
      <c r="BM3">
        <v>96</v>
      </c>
      <c r="BN3">
        <v>125</v>
      </c>
      <c r="BO3">
        <v>100</v>
      </c>
      <c r="BP3">
        <v>93</v>
      </c>
      <c r="BQ3">
        <v>105</v>
      </c>
      <c r="BR3">
        <v>108</v>
      </c>
      <c r="BS3">
        <v>154</v>
      </c>
      <c r="BT3">
        <v>106</v>
      </c>
      <c r="BU3">
        <v>136</v>
      </c>
      <c r="BV3">
        <v>156</v>
      </c>
      <c r="BW3">
        <v>153</v>
      </c>
      <c r="BX3">
        <v>99</v>
      </c>
      <c r="BY3">
        <v>109</v>
      </c>
      <c r="BZ3">
        <v>88</v>
      </c>
      <c r="CA3">
        <v>163</v>
      </c>
      <c r="CB3">
        <v>102</v>
      </c>
      <c r="CC3">
        <v>114</v>
      </c>
      <c r="CD3">
        <v>104</v>
      </c>
      <c r="CE3">
        <v>111</v>
      </c>
      <c r="CF3">
        <v>134</v>
      </c>
      <c r="CG3">
        <v>79</v>
      </c>
      <c r="CH3">
        <v>75</v>
      </c>
      <c r="CI3">
        <v>179</v>
      </c>
      <c r="CJ3">
        <v>129</v>
      </c>
      <c r="CK3">
        <v>119</v>
      </c>
      <c r="CL3">
        <v>181</v>
      </c>
      <c r="CM3">
        <v>128</v>
      </c>
      <c r="CN3">
        <v>109</v>
      </c>
      <c r="CO3">
        <v>139</v>
      </c>
      <c r="CP3">
        <v>123</v>
      </c>
      <c r="CQ3">
        <v>158</v>
      </c>
      <c r="CR3">
        <v>107</v>
      </c>
      <c r="CS3">
        <v>109</v>
      </c>
      <c r="CT3">
        <v>148</v>
      </c>
      <c r="CU3">
        <v>99</v>
      </c>
      <c r="CV3">
        <v>103</v>
      </c>
      <c r="CW3">
        <v>196</v>
      </c>
      <c r="CX3">
        <v>96</v>
      </c>
      <c r="CY3">
        <v>140</v>
      </c>
      <c r="CZ3">
        <v>112</v>
      </c>
      <c r="DA3">
        <v>151</v>
      </c>
      <c r="DB3">
        <v>109</v>
      </c>
      <c r="DC3">
        <v>125</v>
      </c>
      <c r="DD3">
        <v>177</v>
      </c>
      <c r="DE3">
        <v>142</v>
      </c>
      <c r="DF3">
        <v>100</v>
      </c>
      <c r="DG3">
        <v>87</v>
      </c>
      <c r="DH3">
        <v>197</v>
      </c>
      <c r="DI3">
        <v>117</v>
      </c>
      <c r="DJ3">
        <v>134</v>
      </c>
      <c r="DK3">
        <v>79</v>
      </c>
      <c r="DL3">
        <v>74</v>
      </c>
      <c r="DM3">
        <v>181</v>
      </c>
      <c r="DN3">
        <v>91</v>
      </c>
      <c r="DO3">
        <v>119</v>
      </c>
      <c r="DP3">
        <v>146</v>
      </c>
      <c r="DQ3">
        <v>165</v>
      </c>
      <c r="DR3">
        <v>124</v>
      </c>
      <c r="DS3">
        <v>90</v>
      </c>
      <c r="DT3">
        <v>92</v>
      </c>
      <c r="DU3">
        <v>193</v>
      </c>
      <c r="DV3">
        <v>155</v>
      </c>
      <c r="DW3">
        <v>191</v>
      </c>
      <c r="DX3">
        <v>96</v>
      </c>
      <c r="DY3">
        <v>108</v>
      </c>
      <c r="DZ3">
        <v>71</v>
      </c>
      <c r="EA3">
        <v>100</v>
      </c>
      <c r="EB3">
        <v>104</v>
      </c>
      <c r="EC3">
        <v>108</v>
      </c>
      <c r="ED3">
        <v>129</v>
      </c>
      <c r="EE3">
        <v>133</v>
      </c>
      <c r="EF3">
        <v>136</v>
      </c>
      <c r="EG3">
        <v>155</v>
      </c>
      <c r="EH3">
        <v>119</v>
      </c>
      <c r="EI3">
        <v>96</v>
      </c>
      <c r="EJ3">
        <v>108</v>
      </c>
      <c r="EK3">
        <v>78</v>
      </c>
      <c r="EL3">
        <v>107</v>
      </c>
      <c r="EM3">
        <v>128</v>
      </c>
      <c r="EN3">
        <v>128</v>
      </c>
      <c r="EO3">
        <v>151</v>
      </c>
      <c r="EP3">
        <v>146</v>
      </c>
      <c r="EQ3">
        <v>126</v>
      </c>
      <c r="ER3">
        <v>100</v>
      </c>
      <c r="ES3">
        <v>144</v>
      </c>
      <c r="ET3">
        <v>77</v>
      </c>
      <c r="EU3">
        <v>120</v>
      </c>
      <c r="EV3">
        <v>161</v>
      </c>
      <c r="EW3">
        <v>137</v>
      </c>
      <c r="EX3">
        <v>128</v>
      </c>
      <c r="EY3">
        <v>124</v>
      </c>
      <c r="EZ3">
        <v>106</v>
      </c>
      <c r="FA3">
        <v>155</v>
      </c>
      <c r="FB3">
        <v>113</v>
      </c>
      <c r="FC3">
        <v>112</v>
      </c>
      <c r="FD3">
        <v>99</v>
      </c>
      <c r="FE3">
        <v>115</v>
      </c>
      <c r="FF3">
        <v>129</v>
      </c>
      <c r="FG3">
        <v>152</v>
      </c>
      <c r="FH3">
        <v>157</v>
      </c>
      <c r="FI3">
        <v>122</v>
      </c>
      <c r="FJ3">
        <v>102</v>
      </c>
      <c r="FK3">
        <v>105</v>
      </c>
      <c r="FL3">
        <v>87</v>
      </c>
      <c r="FM3">
        <v>95</v>
      </c>
      <c r="FN3">
        <v>165</v>
      </c>
      <c r="FO3">
        <v>152</v>
      </c>
      <c r="FP3">
        <v>130</v>
      </c>
      <c r="FQ3">
        <v>95</v>
      </c>
      <c r="FR3">
        <v>126</v>
      </c>
      <c r="FS3">
        <v>139</v>
      </c>
      <c r="FT3">
        <v>99</v>
      </c>
      <c r="FU3">
        <v>90</v>
      </c>
      <c r="FV3">
        <v>125</v>
      </c>
      <c r="FW3">
        <v>88</v>
      </c>
      <c r="FX3">
        <v>196</v>
      </c>
      <c r="FY3">
        <v>189</v>
      </c>
      <c r="FZ3">
        <v>147</v>
      </c>
      <c r="GA3">
        <v>99</v>
      </c>
      <c r="GB3">
        <v>81</v>
      </c>
      <c r="GC3">
        <v>133</v>
      </c>
      <c r="GD3">
        <v>173</v>
      </c>
      <c r="GE3">
        <v>84</v>
      </c>
      <c r="GF3">
        <v>105</v>
      </c>
      <c r="GG3">
        <v>122</v>
      </c>
      <c r="GH3">
        <v>140</v>
      </c>
      <c r="GI3">
        <v>98</v>
      </c>
      <c r="GJ3">
        <v>87</v>
      </c>
      <c r="GK3">
        <v>93</v>
      </c>
      <c r="GL3">
        <v>107</v>
      </c>
      <c r="GM3">
        <v>109</v>
      </c>
      <c r="GN3">
        <v>90</v>
      </c>
      <c r="GO3">
        <v>125</v>
      </c>
      <c r="GP3">
        <v>119</v>
      </c>
      <c r="GQ3">
        <v>144</v>
      </c>
      <c r="GR3">
        <v>100</v>
      </c>
      <c r="GS3">
        <v>100</v>
      </c>
      <c r="GT3">
        <v>131</v>
      </c>
      <c r="GU3">
        <v>116</v>
      </c>
      <c r="GV3">
        <v>127</v>
      </c>
      <c r="GW3">
        <v>96</v>
      </c>
      <c r="GX3">
        <v>136</v>
      </c>
      <c r="GY3">
        <v>123</v>
      </c>
      <c r="GZ3">
        <v>172</v>
      </c>
      <c r="HA3">
        <v>112</v>
      </c>
      <c r="HB3">
        <v>143</v>
      </c>
      <c r="HC3">
        <v>143</v>
      </c>
      <c r="HD3">
        <v>138</v>
      </c>
      <c r="HE3">
        <v>173</v>
      </c>
      <c r="HF3">
        <v>129</v>
      </c>
      <c r="HG3">
        <v>119</v>
      </c>
      <c r="HH3">
        <v>94</v>
      </c>
      <c r="HI3">
        <v>102</v>
      </c>
      <c r="HJ3">
        <v>151</v>
      </c>
      <c r="HK3">
        <v>184</v>
      </c>
      <c r="HL3">
        <v>181</v>
      </c>
      <c r="HM3">
        <v>135</v>
      </c>
      <c r="HN3">
        <v>95</v>
      </c>
      <c r="HO3">
        <v>89</v>
      </c>
      <c r="HP3">
        <v>80</v>
      </c>
      <c r="HQ3">
        <v>83</v>
      </c>
      <c r="HR3">
        <v>117</v>
      </c>
      <c r="HS3">
        <v>180</v>
      </c>
      <c r="HT3">
        <v>100</v>
      </c>
      <c r="HU3">
        <v>95</v>
      </c>
      <c r="HV3">
        <v>104</v>
      </c>
      <c r="HW3">
        <v>120</v>
      </c>
      <c r="HX3">
        <v>82</v>
      </c>
      <c r="HY3">
        <v>91</v>
      </c>
      <c r="HZ3">
        <v>100</v>
      </c>
      <c r="IA3">
        <v>86</v>
      </c>
      <c r="IB3">
        <v>148</v>
      </c>
      <c r="IC3">
        <v>134</v>
      </c>
      <c r="ID3">
        <v>120</v>
      </c>
      <c r="IE3">
        <v>74</v>
      </c>
      <c r="IF3">
        <v>124</v>
      </c>
      <c r="IG3">
        <v>74</v>
      </c>
      <c r="IH3">
        <v>97</v>
      </c>
      <c r="II3">
        <v>154</v>
      </c>
      <c r="IJ3">
        <v>105</v>
      </c>
      <c r="IK3">
        <v>114</v>
      </c>
      <c r="IL3">
        <v>126</v>
      </c>
      <c r="IM3">
        <v>158</v>
      </c>
      <c r="IN3">
        <v>85</v>
      </c>
      <c r="IO3">
        <v>84</v>
      </c>
      <c r="IP3">
        <v>135</v>
      </c>
      <c r="IQ3">
        <v>139</v>
      </c>
      <c r="IR3">
        <v>173</v>
      </c>
      <c r="IS3">
        <v>83</v>
      </c>
      <c r="IT3">
        <v>125</v>
      </c>
      <c r="IU3">
        <v>81</v>
      </c>
      <c r="IV3">
        <v>195</v>
      </c>
      <c r="IW3">
        <v>154</v>
      </c>
      <c r="IX3">
        <v>117</v>
      </c>
      <c r="IY3">
        <v>94</v>
      </c>
      <c r="IZ3">
        <v>180</v>
      </c>
      <c r="JA3">
        <v>130</v>
      </c>
      <c r="JB3">
        <v>84</v>
      </c>
      <c r="JC3">
        <v>139</v>
      </c>
      <c r="JD3">
        <v>99</v>
      </c>
      <c r="JE3">
        <v>163</v>
      </c>
      <c r="JF3">
        <v>145</v>
      </c>
      <c r="JG3">
        <v>129</v>
      </c>
      <c r="JH3">
        <v>68</v>
      </c>
      <c r="JI3">
        <v>124</v>
      </c>
      <c r="JJ3">
        <v>97</v>
      </c>
      <c r="JK3">
        <v>116</v>
      </c>
      <c r="JL3">
        <v>117</v>
      </c>
      <c r="JM3">
        <v>122</v>
      </c>
      <c r="JN3">
        <v>86</v>
      </c>
      <c r="JO3">
        <v>77</v>
      </c>
      <c r="JP3">
        <v>127</v>
      </c>
      <c r="JQ3">
        <v>129</v>
      </c>
      <c r="JR3">
        <v>100</v>
      </c>
      <c r="JS3">
        <v>128</v>
      </c>
      <c r="JT3">
        <v>84</v>
      </c>
      <c r="JU3">
        <v>88</v>
      </c>
      <c r="JV3">
        <v>186</v>
      </c>
      <c r="JW3">
        <v>187</v>
      </c>
      <c r="JX3">
        <v>131</v>
      </c>
      <c r="JY3">
        <v>164</v>
      </c>
      <c r="JZ3">
        <v>84</v>
      </c>
      <c r="KA3">
        <v>88</v>
      </c>
      <c r="KB3">
        <v>84</v>
      </c>
      <c r="KC3">
        <v>124</v>
      </c>
      <c r="KD3">
        <v>198</v>
      </c>
      <c r="KE3">
        <v>87</v>
      </c>
      <c r="KF3">
        <v>99</v>
      </c>
      <c r="KG3">
        <v>95</v>
      </c>
      <c r="KH3">
        <v>99</v>
      </c>
      <c r="KI3">
        <v>92</v>
      </c>
      <c r="KJ3">
        <v>154</v>
      </c>
      <c r="KK3">
        <v>121</v>
      </c>
      <c r="KL3">
        <v>111</v>
      </c>
      <c r="KM3">
        <v>98</v>
      </c>
      <c r="KN3">
        <v>143</v>
      </c>
      <c r="KO3">
        <v>119</v>
      </c>
      <c r="KP3">
        <v>108</v>
      </c>
      <c r="KQ3">
        <v>124</v>
      </c>
      <c r="KR3">
        <v>176</v>
      </c>
      <c r="KS3">
        <v>112</v>
      </c>
      <c r="KT3">
        <v>82</v>
      </c>
      <c r="KU3">
        <v>123</v>
      </c>
      <c r="KV3">
        <v>188</v>
      </c>
      <c r="KW3">
        <v>89</v>
      </c>
      <c r="KX3">
        <v>109</v>
      </c>
      <c r="KY3">
        <v>150</v>
      </c>
      <c r="KZ3">
        <v>181</v>
      </c>
      <c r="LA3">
        <v>92</v>
      </c>
      <c r="LB3">
        <v>152</v>
      </c>
      <c r="LC3">
        <v>111</v>
      </c>
      <c r="LD3">
        <v>106</v>
      </c>
      <c r="LE3">
        <v>174</v>
      </c>
      <c r="LF3">
        <v>168</v>
      </c>
      <c r="LG3">
        <v>138</v>
      </c>
      <c r="LH3">
        <v>68</v>
      </c>
      <c r="LI3">
        <v>112</v>
      </c>
      <c r="LJ3">
        <v>94</v>
      </c>
      <c r="LK3">
        <v>90</v>
      </c>
      <c r="LL3">
        <v>102</v>
      </c>
      <c r="LM3">
        <v>128</v>
      </c>
      <c r="LN3">
        <v>94</v>
      </c>
      <c r="LO3">
        <v>97</v>
      </c>
      <c r="LP3">
        <v>100</v>
      </c>
      <c r="LQ3">
        <v>102</v>
      </c>
      <c r="LR3">
        <v>103</v>
      </c>
      <c r="LS3">
        <v>157</v>
      </c>
      <c r="LT3">
        <v>167</v>
      </c>
      <c r="LU3">
        <v>179</v>
      </c>
      <c r="LV3">
        <v>136</v>
      </c>
      <c r="LW3">
        <v>91</v>
      </c>
      <c r="LX3">
        <v>117</v>
      </c>
      <c r="LY3">
        <v>123</v>
      </c>
      <c r="LZ3">
        <v>106</v>
      </c>
      <c r="MA3">
        <v>155</v>
      </c>
      <c r="MB3">
        <v>101</v>
      </c>
      <c r="MC3">
        <v>120</v>
      </c>
      <c r="MD3">
        <v>80</v>
      </c>
      <c r="ME3">
        <v>167</v>
      </c>
      <c r="MF3">
        <v>145</v>
      </c>
      <c r="MG3">
        <v>112</v>
      </c>
      <c r="MH3">
        <v>98</v>
      </c>
      <c r="MI3">
        <v>154</v>
      </c>
      <c r="MJ3">
        <v>165</v>
      </c>
      <c r="MK3">
        <v>68</v>
      </c>
      <c r="ML3">
        <v>123</v>
      </c>
      <c r="MM3">
        <v>101</v>
      </c>
      <c r="MN3">
        <v>56</v>
      </c>
      <c r="MO3">
        <v>95</v>
      </c>
      <c r="MP3">
        <v>129</v>
      </c>
      <c r="MQ3">
        <v>140</v>
      </c>
      <c r="MR3">
        <v>144</v>
      </c>
      <c r="MS3">
        <v>121</v>
      </c>
      <c r="MT3">
        <v>129</v>
      </c>
      <c r="MU3">
        <v>142</v>
      </c>
      <c r="MV3">
        <v>169</v>
      </c>
      <c r="MW3">
        <v>127</v>
      </c>
      <c r="MX3">
        <v>122</v>
      </c>
      <c r="MY3">
        <v>110</v>
      </c>
      <c r="MZ3">
        <v>127</v>
      </c>
      <c r="NA3">
        <v>93</v>
      </c>
      <c r="NB3">
        <v>158</v>
      </c>
      <c r="NC3">
        <v>126</v>
      </c>
      <c r="ND3">
        <v>134</v>
      </c>
      <c r="NE3">
        <v>187</v>
      </c>
      <c r="NF3">
        <v>173</v>
      </c>
      <c r="NG3">
        <v>108</v>
      </c>
      <c r="NH3">
        <v>114</v>
      </c>
      <c r="NI3">
        <v>149</v>
      </c>
      <c r="NJ3">
        <v>117</v>
      </c>
      <c r="NK3">
        <v>116</v>
      </c>
      <c r="NL3">
        <v>130</v>
      </c>
      <c r="NM3">
        <v>174</v>
      </c>
      <c r="NN3">
        <v>106</v>
      </c>
      <c r="NO3">
        <v>126</v>
      </c>
      <c r="NP3">
        <v>99</v>
      </c>
      <c r="NQ3">
        <v>120</v>
      </c>
      <c r="NR3">
        <v>102</v>
      </c>
      <c r="NS3">
        <v>109</v>
      </c>
      <c r="NT3">
        <v>153</v>
      </c>
      <c r="NU3">
        <v>100</v>
      </c>
      <c r="NV3">
        <v>81</v>
      </c>
      <c r="NW3">
        <v>187</v>
      </c>
      <c r="NX3">
        <v>121</v>
      </c>
      <c r="NY3">
        <v>181</v>
      </c>
      <c r="NZ3">
        <v>128</v>
      </c>
      <c r="OA3">
        <v>88</v>
      </c>
      <c r="OB3">
        <v>101</v>
      </c>
      <c r="OC3">
        <v>121</v>
      </c>
    </row>
    <row r="4" spans="1:393">
      <c r="A4" s="1" t="s">
        <v>2</v>
      </c>
      <c r="B4">
        <v>66</v>
      </c>
      <c r="C4">
        <v>40</v>
      </c>
      <c r="D4">
        <v>50</v>
      </c>
      <c r="E4">
        <v>70</v>
      </c>
      <c r="F4">
        <v>60</v>
      </c>
      <c r="G4">
        <v>72</v>
      </c>
      <c r="H4">
        <v>84</v>
      </c>
      <c r="I4">
        <v>30</v>
      </c>
      <c r="J4">
        <v>70</v>
      </c>
      <c r="K4">
        <v>88</v>
      </c>
      <c r="L4">
        <v>94</v>
      </c>
      <c r="M4">
        <v>70</v>
      </c>
      <c r="N4">
        <v>66</v>
      </c>
      <c r="O4">
        <v>82</v>
      </c>
      <c r="P4">
        <v>76</v>
      </c>
      <c r="Q4">
        <v>58</v>
      </c>
      <c r="R4">
        <v>60</v>
      </c>
      <c r="S4">
        <v>72</v>
      </c>
      <c r="T4">
        <v>64</v>
      </c>
      <c r="U4">
        <v>110</v>
      </c>
      <c r="V4">
        <v>80</v>
      </c>
      <c r="W4">
        <v>50</v>
      </c>
      <c r="X4">
        <v>66</v>
      </c>
      <c r="Y4">
        <v>90</v>
      </c>
      <c r="Z4">
        <v>66</v>
      </c>
      <c r="AA4">
        <v>68</v>
      </c>
      <c r="AB4">
        <v>88</v>
      </c>
      <c r="AC4">
        <v>64</v>
      </c>
      <c r="AD4">
        <v>58</v>
      </c>
      <c r="AE4">
        <v>66</v>
      </c>
      <c r="AF4">
        <v>85</v>
      </c>
      <c r="AG4">
        <v>66</v>
      </c>
      <c r="AH4">
        <v>64</v>
      </c>
      <c r="AI4">
        <v>86</v>
      </c>
      <c r="AJ4">
        <v>78</v>
      </c>
      <c r="AK4">
        <v>74</v>
      </c>
      <c r="AL4">
        <v>68</v>
      </c>
      <c r="AM4">
        <v>70</v>
      </c>
      <c r="AN4">
        <v>80</v>
      </c>
      <c r="AO4">
        <v>78</v>
      </c>
      <c r="AP4">
        <v>82</v>
      </c>
      <c r="AQ4">
        <v>72</v>
      </c>
      <c r="AR4">
        <v>48</v>
      </c>
      <c r="AS4">
        <v>50</v>
      </c>
      <c r="AT4">
        <v>90</v>
      </c>
      <c r="AU4">
        <v>72</v>
      </c>
      <c r="AV4">
        <v>56</v>
      </c>
      <c r="AW4">
        <v>58</v>
      </c>
      <c r="AX4">
        <v>58</v>
      </c>
      <c r="AY4">
        <v>85</v>
      </c>
      <c r="AZ4">
        <v>72</v>
      </c>
      <c r="BA4">
        <v>62</v>
      </c>
      <c r="BB4">
        <v>76</v>
      </c>
      <c r="BC4">
        <v>54</v>
      </c>
      <c r="BD4">
        <v>76</v>
      </c>
      <c r="BE4">
        <v>76</v>
      </c>
      <c r="BF4">
        <v>74</v>
      </c>
      <c r="BG4">
        <v>30</v>
      </c>
      <c r="BH4">
        <v>70</v>
      </c>
      <c r="BI4">
        <v>58</v>
      </c>
      <c r="BJ4">
        <v>88</v>
      </c>
      <c r="BK4">
        <v>70</v>
      </c>
      <c r="BL4">
        <v>64</v>
      </c>
      <c r="BM4">
        <v>68</v>
      </c>
      <c r="BN4">
        <v>60</v>
      </c>
      <c r="BO4">
        <v>70</v>
      </c>
      <c r="BP4">
        <v>60</v>
      </c>
      <c r="BQ4">
        <v>72</v>
      </c>
      <c r="BR4">
        <v>52</v>
      </c>
      <c r="BS4">
        <v>62</v>
      </c>
      <c r="BT4">
        <v>64</v>
      </c>
      <c r="BU4">
        <v>74</v>
      </c>
      <c r="BV4">
        <v>86</v>
      </c>
      <c r="BW4">
        <v>82</v>
      </c>
      <c r="BX4">
        <v>52</v>
      </c>
      <c r="BY4">
        <v>56</v>
      </c>
      <c r="BZ4">
        <v>74</v>
      </c>
      <c r="CA4">
        <v>72</v>
      </c>
      <c r="CB4">
        <v>74</v>
      </c>
      <c r="CC4">
        <v>80</v>
      </c>
      <c r="CD4">
        <v>74</v>
      </c>
      <c r="CE4">
        <v>90</v>
      </c>
      <c r="CF4">
        <v>70</v>
      </c>
      <c r="CG4">
        <v>60</v>
      </c>
      <c r="CH4">
        <v>64</v>
      </c>
      <c r="CI4">
        <v>72</v>
      </c>
      <c r="CJ4">
        <v>110</v>
      </c>
      <c r="CK4">
        <v>64</v>
      </c>
      <c r="CL4">
        <v>68</v>
      </c>
      <c r="CM4">
        <v>98</v>
      </c>
      <c r="CN4">
        <v>76</v>
      </c>
      <c r="CO4">
        <v>80</v>
      </c>
      <c r="CP4">
        <v>70</v>
      </c>
      <c r="CQ4">
        <v>84</v>
      </c>
      <c r="CR4">
        <v>62</v>
      </c>
      <c r="CS4">
        <v>64</v>
      </c>
      <c r="CT4">
        <v>60</v>
      </c>
      <c r="CU4">
        <v>70</v>
      </c>
      <c r="CV4">
        <v>72</v>
      </c>
      <c r="CW4">
        <v>76</v>
      </c>
      <c r="CX4">
        <v>64</v>
      </c>
      <c r="CY4">
        <v>65</v>
      </c>
      <c r="CZ4">
        <v>82</v>
      </c>
      <c r="DA4">
        <v>70</v>
      </c>
      <c r="DB4">
        <v>62</v>
      </c>
      <c r="DC4">
        <v>68</v>
      </c>
      <c r="DD4">
        <v>60</v>
      </c>
      <c r="DE4">
        <v>60</v>
      </c>
      <c r="DF4">
        <v>66</v>
      </c>
      <c r="DG4">
        <v>78</v>
      </c>
      <c r="DH4">
        <v>70</v>
      </c>
      <c r="DI4">
        <v>80</v>
      </c>
      <c r="DJ4">
        <v>80</v>
      </c>
      <c r="DK4">
        <v>80</v>
      </c>
      <c r="DL4">
        <v>68</v>
      </c>
      <c r="DM4">
        <v>84</v>
      </c>
      <c r="DN4">
        <v>70</v>
      </c>
      <c r="DO4">
        <v>50</v>
      </c>
      <c r="DP4">
        <v>76</v>
      </c>
      <c r="DQ4">
        <v>90</v>
      </c>
      <c r="DR4">
        <v>70</v>
      </c>
      <c r="DS4">
        <v>80</v>
      </c>
      <c r="DT4">
        <v>62</v>
      </c>
      <c r="DU4">
        <v>50</v>
      </c>
      <c r="DV4">
        <v>76</v>
      </c>
      <c r="DW4">
        <v>68</v>
      </c>
      <c r="DX4">
        <v>74</v>
      </c>
      <c r="DY4">
        <v>62</v>
      </c>
      <c r="DZ4">
        <v>78</v>
      </c>
      <c r="EA4">
        <v>70</v>
      </c>
      <c r="EB4">
        <v>64</v>
      </c>
      <c r="EC4">
        <v>62</v>
      </c>
      <c r="ED4">
        <v>76</v>
      </c>
      <c r="EE4">
        <v>88</v>
      </c>
      <c r="EF4">
        <v>74</v>
      </c>
      <c r="EG4">
        <v>84</v>
      </c>
      <c r="EH4">
        <v>86</v>
      </c>
      <c r="EI4">
        <v>56</v>
      </c>
      <c r="EJ4">
        <v>72</v>
      </c>
      <c r="EK4">
        <v>88</v>
      </c>
      <c r="EL4">
        <v>62</v>
      </c>
      <c r="EM4">
        <v>78</v>
      </c>
      <c r="EN4">
        <v>48</v>
      </c>
      <c r="EO4">
        <v>62</v>
      </c>
      <c r="EP4">
        <v>70</v>
      </c>
      <c r="EQ4">
        <v>84</v>
      </c>
      <c r="ER4">
        <v>78</v>
      </c>
      <c r="ES4">
        <v>58</v>
      </c>
      <c r="ET4">
        <v>82</v>
      </c>
      <c r="EU4">
        <v>76</v>
      </c>
      <c r="EV4">
        <v>68</v>
      </c>
      <c r="EW4">
        <v>68</v>
      </c>
      <c r="EX4">
        <v>68</v>
      </c>
      <c r="EY4">
        <v>68</v>
      </c>
      <c r="EZ4">
        <v>70</v>
      </c>
      <c r="FA4">
        <v>74</v>
      </c>
      <c r="FB4">
        <v>50</v>
      </c>
      <c r="FC4">
        <v>68</v>
      </c>
      <c r="FD4">
        <v>80</v>
      </c>
      <c r="FE4">
        <v>66</v>
      </c>
      <c r="FF4">
        <v>60</v>
      </c>
      <c r="FG4">
        <v>90</v>
      </c>
      <c r="FH4">
        <v>72</v>
      </c>
      <c r="FI4">
        <v>64</v>
      </c>
      <c r="FJ4">
        <v>86</v>
      </c>
      <c r="FK4">
        <v>70</v>
      </c>
      <c r="FL4">
        <v>58</v>
      </c>
      <c r="FM4">
        <v>60</v>
      </c>
      <c r="FN4">
        <v>76</v>
      </c>
      <c r="FO4">
        <v>78</v>
      </c>
      <c r="FP4">
        <v>70</v>
      </c>
      <c r="FQ4">
        <v>74</v>
      </c>
      <c r="FR4">
        <v>88</v>
      </c>
      <c r="FS4">
        <v>46</v>
      </c>
      <c r="FT4">
        <v>62</v>
      </c>
      <c r="FU4">
        <v>62</v>
      </c>
      <c r="FV4">
        <v>50</v>
      </c>
      <c r="FW4">
        <v>74</v>
      </c>
      <c r="FX4">
        <v>76</v>
      </c>
      <c r="FY4">
        <v>64</v>
      </c>
      <c r="FZ4">
        <v>74</v>
      </c>
      <c r="GA4">
        <v>54</v>
      </c>
      <c r="GB4">
        <v>86</v>
      </c>
      <c r="GC4">
        <v>102</v>
      </c>
      <c r="GD4">
        <v>82</v>
      </c>
      <c r="GE4">
        <v>64</v>
      </c>
      <c r="GF4">
        <v>58</v>
      </c>
      <c r="GG4">
        <v>52</v>
      </c>
      <c r="GH4">
        <v>82</v>
      </c>
      <c r="GI4">
        <v>82</v>
      </c>
      <c r="GJ4">
        <v>60</v>
      </c>
      <c r="GK4">
        <v>100</v>
      </c>
      <c r="GL4">
        <v>72</v>
      </c>
      <c r="GM4">
        <v>60</v>
      </c>
      <c r="GN4">
        <v>62</v>
      </c>
      <c r="GO4">
        <v>70</v>
      </c>
      <c r="GP4">
        <v>54</v>
      </c>
      <c r="GQ4">
        <v>82</v>
      </c>
      <c r="GR4">
        <v>68</v>
      </c>
      <c r="GS4">
        <v>66</v>
      </c>
      <c r="GT4">
        <v>64</v>
      </c>
      <c r="GU4">
        <v>72</v>
      </c>
      <c r="GV4">
        <v>58</v>
      </c>
      <c r="GW4">
        <v>56</v>
      </c>
      <c r="GX4">
        <v>84</v>
      </c>
      <c r="GY4">
        <v>48</v>
      </c>
      <c r="GZ4">
        <v>68</v>
      </c>
      <c r="HA4">
        <v>72</v>
      </c>
      <c r="HB4">
        <v>84</v>
      </c>
      <c r="HC4">
        <v>74</v>
      </c>
      <c r="HD4">
        <v>60</v>
      </c>
      <c r="HE4">
        <v>84</v>
      </c>
      <c r="HF4">
        <v>64</v>
      </c>
      <c r="HG4">
        <v>88</v>
      </c>
      <c r="HH4">
        <v>68</v>
      </c>
      <c r="HI4">
        <v>64</v>
      </c>
      <c r="HJ4">
        <v>78</v>
      </c>
      <c r="HK4">
        <v>78</v>
      </c>
      <c r="HL4">
        <v>64</v>
      </c>
      <c r="HM4">
        <v>94</v>
      </c>
      <c r="HN4">
        <v>82</v>
      </c>
      <c r="HO4">
        <v>74</v>
      </c>
      <c r="HP4">
        <v>74</v>
      </c>
      <c r="HQ4">
        <v>66</v>
      </c>
      <c r="HR4">
        <v>64</v>
      </c>
      <c r="HS4">
        <v>78</v>
      </c>
      <c r="HT4">
        <v>72</v>
      </c>
      <c r="HU4">
        <v>80</v>
      </c>
      <c r="HV4">
        <v>64</v>
      </c>
      <c r="HW4">
        <v>74</v>
      </c>
      <c r="HX4">
        <v>64</v>
      </c>
      <c r="HY4">
        <v>68</v>
      </c>
      <c r="HZ4">
        <v>54</v>
      </c>
      <c r="IA4">
        <v>68</v>
      </c>
      <c r="IB4">
        <v>84</v>
      </c>
      <c r="IC4">
        <v>74</v>
      </c>
      <c r="ID4">
        <v>72</v>
      </c>
      <c r="IE4">
        <v>70</v>
      </c>
      <c r="IF4">
        <v>56</v>
      </c>
      <c r="IG4">
        <v>52</v>
      </c>
      <c r="IH4">
        <v>64</v>
      </c>
      <c r="II4">
        <v>78</v>
      </c>
      <c r="IJ4">
        <v>80</v>
      </c>
      <c r="IK4">
        <v>76</v>
      </c>
      <c r="IL4">
        <v>74</v>
      </c>
      <c r="IM4">
        <v>70</v>
      </c>
      <c r="IN4">
        <v>58</v>
      </c>
      <c r="IO4">
        <v>82</v>
      </c>
      <c r="IP4">
        <v>68</v>
      </c>
      <c r="IQ4">
        <v>62</v>
      </c>
      <c r="IR4">
        <v>78</v>
      </c>
      <c r="IS4">
        <v>65</v>
      </c>
      <c r="IT4">
        <v>70</v>
      </c>
      <c r="IU4">
        <v>72</v>
      </c>
      <c r="IV4">
        <v>70</v>
      </c>
      <c r="IW4">
        <v>74</v>
      </c>
      <c r="IX4">
        <v>90</v>
      </c>
      <c r="IY4">
        <v>64</v>
      </c>
      <c r="IZ4">
        <v>90</v>
      </c>
      <c r="JA4">
        <v>60</v>
      </c>
      <c r="JB4">
        <v>50</v>
      </c>
      <c r="JC4">
        <v>62</v>
      </c>
      <c r="JD4">
        <v>54</v>
      </c>
      <c r="JE4">
        <v>70</v>
      </c>
      <c r="JF4">
        <v>88</v>
      </c>
      <c r="JG4">
        <v>90</v>
      </c>
      <c r="JH4">
        <v>70</v>
      </c>
      <c r="JI4">
        <v>80</v>
      </c>
      <c r="JJ4">
        <v>64</v>
      </c>
      <c r="JK4">
        <v>74</v>
      </c>
      <c r="JL4">
        <v>66</v>
      </c>
      <c r="JM4">
        <v>60</v>
      </c>
      <c r="JN4">
        <v>66</v>
      </c>
      <c r="JO4">
        <v>56</v>
      </c>
      <c r="JP4">
        <v>80</v>
      </c>
      <c r="JQ4">
        <v>92</v>
      </c>
      <c r="JR4">
        <v>74</v>
      </c>
      <c r="JS4">
        <v>72</v>
      </c>
      <c r="JT4">
        <v>90</v>
      </c>
      <c r="JU4">
        <v>78</v>
      </c>
      <c r="JV4">
        <v>90</v>
      </c>
      <c r="JW4">
        <v>76</v>
      </c>
      <c r="JX4">
        <v>68</v>
      </c>
      <c r="JY4">
        <v>82</v>
      </c>
      <c r="JZ4">
        <v>68</v>
      </c>
      <c r="KA4">
        <v>62</v>
      </c>
      <c r="KB4">
        <v>64</v>
      </c>
      <c r="KC4">
        <v>70</v>
      </c>
      <c r="KD4">
        <v>66</v>
      </c>
      <c r="KE4">
        <v>68</v>
      </c>
      <c r="KF4">
        <v>60</v>
      </c>
      <c r="KG4">
        <v>54</v>
      </c>
      <c r="KH4">
        <v>72</v>
      </c>
      <c r="KI4">
        <v>62</v>
      </c>
      <c r="KJ4">
        <v>72</v>
      </c>
      <c r="KK4">
        <v>66</v>
      </c>
      <c r="KL4">
        <v>58</v>
      </c>
      <c r="KM4">
        <v>60</v>
      </c>
      <c r="KN4">
        <v>86</v>
      </c>
      <c r="KO4">
        <v>44</v>
      </c>
      <c r="KP4">
        <v>44</v>
      </c>
      <c r="KQ4">
        <v>76</v>
      </c>
      <c r="KR4">
        <v>86</v>
      </c>
      <c r="KS4">
        <v>78</v>
      </c>
      <c r="KT4">
        <v>52</v>
      </c>
      <c r="KU4">
        <v>72</v>
      </c>
      <c r="KV4">
        <v>82</v>
      </c>
      <c r="KW4">
        <v>24</v>
      </c>
      <c r="KX4">
        <v>38</v>
      </c>
      <c r="KY4">
        <v>78</v>
      </c>
      <c r="KZ4">
        <v>78</v>
      </c>
      <c r="LA4">
        <v>62</v>
      </c>
      <c r="LB4">
        <v>82</v>
      </c>
      <c r="LC4">
        <v>62</v>
      </c>
      <c r="LD4">
        <v>54</v>
      </c>
      <c r="LE4">
        <v>58</v>
      </c>
      <c r="LF4">
        <v>88</v>
      </c>
      <c r="LG4">
        <v>74</v>
      </c>
      <c r="LH4">
        <v>62</v>
      </c>
      <c r="LI4">
        <v>86</v>
      </c>
      <c r="LJ4">
        <v>70</v>
      </c>
      <c r="LK4">
        <v>88</v>
      </c>
      <c r="LL4">
        <v>78</v>
      </c>
      <c r="LM4">
        <v>82</v>
      </c>
      <c r="LN4">
        <v>76</v>
      </c>
      <c r="LO4">
        <v>76</v>
      </c>
      <c r="LP4">
        <v>74</v>
      </c>
      <c r="LQ4">
        <v>86</v>
      </c>
      <c r="LR4">
        <v>72</v>
      </c>
      <c r="LS4">
        <v>74</v>
      </c>
      <c r="LT4">
        <v>74</v>
      </c>
      <c r="LU4">
        <v>50</v>
      </c>
      <c r="LV4">
        <v>84</v>
      </c>
      <c r="LW4">
        <v>54</v>
      </c>
      <c r="LX4">
        <v>60</v>
      </c>
      <c r="LY4">
        <v>74</v>
      </c>
      <c r="LZ4">
        <v>70</v>
      </c>
      <c r="MA4">
        <v>52</v>
      </c>
      <c r="MB4">
        <v>58</v>
      </c>
      <c r="MC4">
        <v>80</v>
      </c>
      <c r="MD4">
        <v>82</v>
      </c>
      <c r="ME4">
        <v>106</v>
      </c>
      <c r="MF4">
        <v>80</v>
      </c>
      <c r="MG4">
        <v>80</v>
      </c>
      <c r="MH4">
        <v>58</v>
      </c>
      <c r="MI4">
        <v>78</v>
      </c>
      <c r="MJ4">
        <v>68</v>
      </c>
      <c r="MK4">
        <v>106</v>
      </c>
      <c r="ML4">
        <v>100</v>
      </c>
      <c r="MM4">
        <v>58</v>
      </c>
      <c r="MN4">
        <v>56</v>
      </c>
      <c r="MO4">
        <v>64</v>
      </c>
      <c r="MP4">
        <v>74</v>
      </c>
      <c r="MQ4">
        <v>74</v>
      </c>
      <c r="MR4">
        <v>82</v>
      </c>
      <c r="MS4">
        <v>70</v>
      </c>
      <c r="MT4">
        <v>68</v>
      </c>
      <c r="MU4">
        <v>90</v>
      </c>
      <c r="MV4">
        <v>74</v>
      </c>
      <c r="MW4">
        <v>88</v>
      </c>
      <c r="MX4">
        <v>76</v>
      </c>
      <c r="MY4">
        <v>76</v>
      </c>
      <c r="MZ4">
        <v>46</v>
      </c>
      <c r="NA4">
        <v>64</v>
      </c>
      <c r="NB4">
        <v>64</v>
      </c>
      <c r="NC4">
        <v>78</v>
      </c>
      <c r="ND4">
        <v>58</v>
      </c>
      <c r="NE4">
        <v>50</v>
      </c>
      <c r="NF4">
        <v>78</v>
      </c>
      <c r="NG4">
        <v>60</v>
      </c>
      <c r="NH4">
        <v>66</v>
      </c>
      <c r="NI4">
        <v>68</v>
      </c>
      <c r="NJ4">
        <v>86</v>
      </c>
      <c r="NK4">
        <v>78</v>
      </c>
      <c r="NL4">
        <v>78</v>
      </c>
      <c r="NM4">
        <v>88</v>
      </c>
      <c r="NN4">
        <v>56</v>
      </c>
      <c r="NO4">
        <v>86</v>
      </c>
      <c r="NP4">
        <v>60</v>
      </c>
      <c r="NQ4">
        <v>80</v>
      </c>
      <c r="NR4">
        <v>44</v>
      </c>
      <c r="NS4">
        <v>58</v>
      </c>
      <c r="NT4">
        <v>88</v>
      </c>
      <c r="NU4">
        <v>84</v>
      </c>
      <c r="NV4">
        <v>74</v>
      </c>
      <c r="NW4">
        <v>70</v>
      </c>
      <c r="NX4">
        <v>78</v>
      </c>
      <c r="NY4">
        <v>88</v>
      </c>
      <c r="NZ4">
        <v>88</v>
      </c>
      <c r="OA4">
        <v>58</v>
      </c>
      <c r="OB4">
        <v>76</v>
      </c>
      <c r="OC4">
        <v>72</v>
      </c>
    </row>
    <row r="5" spans="1:393">
      <c r="A5" s="1" t="s">
        <v>3</v>
      </c>
      <c r="B5">
        <v>23</v>
      </c>
      <c r="C5">
        <v>35</v>
      </c>
      <c r="D5">
        <v>32</v>
      </c>
      <c r="E5">
        <v>45</v>
      </c>
      <c r="F5">
        <v>23</v>
      </c>
      <c r="G5">
        <v>19</v>
      </c>
      <c r="H5">
        <v>47</v>
      </c>
      <c r="I5">
        <v>38</v>
      </c>
      <c r="J5">
        <v>30</v>
      </c>
      <c r="K5">
        <v>41</v>
      </c>
      <c r="L5">
        <v>33</v>
      </c>
      <c r="M5">
        <v>26</v>
      </c>
      <c r="N5">
        <v>15</v>
      </c>
      <c r="O5">
        <v>19</v>
      </c>
      <c r="P5">
        <v>36</v>
      </c>
      <c r="Q5">
        <v>11</v>
      </c>
      <c r="R5">
        <v>33</v>
      </c>
      <c r="S5">
        <v>47</v>
      </c>
      <c r="T5">
        <v>25</v>
      </c>
      <c r="U5">
        <v>24</v>
      </c>
      <c r="V5">
        <v>11</v>
      </c>
      <c r="W5">
        <v>15</v>
      </c>
      <c r="X5">
        <v>21</v>
      </c>
      <c r="Y5">
        <v>34</v>
      </c>
      <c r="Z5">
        <v>42</v>
      </c>
      <c r="AA5">
        <v>39</v>
      </c>
      <c r="AB5">
        <v>60</v>
      </c>
      <c r="AC5">
        <v>41</v>
      </c>
      <c r="AD5">
        <v>34</v>
      </c>
      <c r="AE5">
        <v>13</v>
      </c>
      <c r="AF5">
        <v>27</v>
      </c>
      <c r="AG5">
        <v>20</v>
      </c>
      <c r="AH5">
        <v>35</v>
      </c>
      <c r="AI5">
        <v>20</v>
      </c>
      <c r="AJ5">
        <v>26</v>
      </c>
      <c r="AK5">
        <v>29</v>
      </c>
      <c r="AL5">
        <v>25</v>
      </c>
      <c r="AM5">
        <v>32</v>
      </c>
      <c r="AN5">
        <v>15</v>
      </c>
      <c r="AO5">
        <v>40</v>
      </c>
      <c r="AP5">
        <v>18</v>
      </c>
      <c r="AQ5">
        <v>27</v>
      </c>
      <c r="AR5">
        <v>18</v>
      </c>
      <c r="AS5">
        <v>30</v>
      </c>
      <c r="AT5">
        <v>51</v>
      </c>
      <c r="AU5">
        <v>18</v>
      </c>
      <c r="AV5">
        <v>29</v>
      </c>
      <c r="AW5">
        <v>28</v>
      </c>
      <c r="AX5">
        <v>31</v>
      </c>
      <c r="AY5">
        <v>25</v>
      </c>
      <c r="AZ5">
        <v>33</v>
      </c>
      <c r="BA5">
        <v>26</v>
      </c>
      <c r="BB5">
        <v>34</v>
      </c>
      <c r="BC5">
        <v>32</v>
      </c>
      <c r="BD5">
        <v>15</v>
      </c>
      <c r="BE5">
        <v>56</v>
      </c>
      <c r="BF5">
        <v>30</v>
      </c>
      <c r="BG5">
        <v>42</v>
      </c>
      <c r="BH5">
        <v>30</v>
      </c>
      <c r="BI5">
        <v>36</v>
      </c>
      <c r="BJ5">
        <v>24</v>
      </c>
      <c r="BK5">
        <v>14</v>
      </c>
      <c r="BL5">
        <v>37</v>
      </c>
      <c r="BM5">
        <v>13</v>
      </c>
      <c r="BN5">
        <v>20</v>
      </c>
      <c r="BO5">
        <v>26</v>
      </c>
      <c r="BP5">
        <v>25</v>
      </c>
      <c r="BQ5">
        <v>29</v>
      </c>
      <c r="BR5">
        <v>26</v>
      </c>
      <c r="BS5">
        <v>31</v>
      </c>
      <c r="BT5">
        <v>35</v>
      </c>
      <c r="BU5">
        <v>50</v>
      </c>
      <c r="BV5">
        <v>28</v>
      </c>
      <c r="BW5">
        <v>42</v>
      </c>
      <c r="BX5">
        <v>15</v>
      </c>
      <c r="BY5">
        <v>21</v>
      </c>
      <c r="BZ5">
        <v>19</v>
      </c>
      <c r="CA5">
        <v>41</v>
      </c>
      <c r="CB5">
        <v>40</v>
      </c>
      <c r="CC5">
        <v>34</v>
      </c>
      <c r="CD5">
        <v>18</v>
      </c>
      <c r="CE5">
        <v>12</v>
      </c>
      <c r="CF5">
        <v>23</v>
      </c>
      <c r="CG5">
        <v>42</v>
      </c>
      <c r="CH5">
        <v>24</v>
      </c>
      <c r="CI5">
        <v>42</v>
      </c>
      <c r="CJ5">
        <v>46</v>
      </c>
      <c r="CK5">
        <v>18</v>
      </c>
      <c r="CL5">
        <v>36</v>
      </c>
      <c r="CM5">
        <v>41</v>
      </c>
      <c r="CN5">
        <v>39</v>
      </c>
      <c r="CO5">
        <v>35</v>
      </c>
      <c r="CP5">
        <v>44</v>
      </c>
      <c r="CQ5">
        <v>41</v>
      </c>
      <c r="CR5">
        <v>13</v>
      </c>
      <c r="CS5">
        <v>44</v>
      </c>
      <c r="CT5">
        <v>27</v>
      </c>
      <c r="CU5">
        <v>16</v>
      </c>
      <c r="CV5">
        <v>32</v>
      </c>
      <c r="CW5">
        <v>29</v>
      </c>
      <c r="CX5">
        <v>27</v>
      </c>
      <c r="CY5">
        <v>26</v>
      </c>
      <c r="CZ5">
        <v>32</v>
      </c>
      <c r="DA5">
        <v>40</v>
      </c>
      <c r="DB5">
        <v>41</v>
      </c>
      <c r="DC5">
        <v>30</v>
      </c>
      <c r="DD5">
        <v>29</v>
      </c>
      <c r="DE5">
        <v>33</v>
      </c>
      <c r="DF5">
        <v>15</v>
      </c>
      <c r="DG5">
        <v>27</v>
      </c>
      <c r="DH5">
        <v>39</v>
      </c>
      <c r="DI5">
        <v>31</v>
      </c>
      <c r="DJ5">
        <v>37</v>
      </c>
      <c r="DK5">
        <v>25</v>
      </c>
      <c r="DL5">
        <v>28</v>
      </c>
      <c r="DM5">
        <v>21</v>
      </c>
      <c r="DN5">
        <v>32</v>
      </c>
      <c r="DO5">
        <v>22</v>
      </c>
      <c r="DP5">
        <v>35</v>
      </c>
      <c r="DQ5">
        <v>33</v>
      </c>
      <c r="DR5">
        <v>33</v>
      </c>
      <c r="DS5">
        <v>14</v>
      </c>
      <c r="DT5">
        <v>7</v>
      </c>
      <c r="DU5">
        <v>16</v>
      </c>
      <c r="DV5">
        <v>28</v>
      </c>
      <c r="DW5">
        <v>15</v>
      </c>
      <c r="DX5">
        <v>18</v>
      </c>
      <c r="DY5">
        <v>32</v>
      </c>
      <c r="DZ5">
        <v>50</v>
      </c>
      <c r="EA5">
        <v>52</v>
      </c>
      <c r="EB5">
        <v>23</v>
      </c>
      <c r="EC5">
        <v>10</v>
      </c>
      <c r="ED5">
        <v>28</v>
      </c>
      <c r="EE5">
        <v>15</v>
      </c>
      <c r="EF5">
        <v>26</v>
      </c>
      <c r="EG5">
        <v>44</v>
      </c>
      <c r="EH5">
        <v>39</v>
      </c>
      <c r="EI5">
        <v>17</v>
      </c>
      <c r="EJ5">
        <v>43</v>
      </c>
      <c r="EK5">
        <v>29</v>
      </c>
      <c r="EL5">
        <v>30</v>
      </c>
      <c r="EM5">
        <v>37</v>
      </c>
      <c r="EN5">
        <v>45</v>
      </c>
      <c r="EO5">
        <v>31</v>
      </c>
      <c r="EP5">
        <v>38</v>
      </c>
      <c r="EQ5">
        <v>29</v>
      </c>
      <c r="ER5">
        <v>25</v>
      </c>
      <c r="ES5">
        <v>33</v>
      </c>
      <c r="ET5">
        <v>41</v>
      </c>
      <c r="EU5">
        <v>37</v>
      </c>
      <c r="EV5">
        <v>23</v>
      </c>
      <c r="EW5">
        <v>14</v>
      </c>
      <c r="EX5">
        <v>19</v>
      </c>
      <c r="EY5">
        <v>28</v>
      </c>
      <c r="EZ5">
        <v>37</v>
      </c>
      <c r="FA5">
        <v>17</v>
      </c>
      <c r="FB5">
        <v>10</v>
      </c>
      <c r="FC5">
        <v>22</v>
      </c>
      <c r="FD5">
        <v>11</v>
      </c>
      <c r="FE5">
        <v>39</v>
      </c>
      <c r="FF5">
        <v>12</v>
      </c>
      <c r="FG5">
        <v>33</v>
      </c>
      <c r="FH5">
        <v>21</v>
      </c>
      <c r="FI5">
        <v>32</v>
      </c>
      <c r="FJ5">
        <v>36</v>
      </c>
      <c r="FK5">
        <v>32</v>
      </c>
      <c r="FL5">
        <v>16</v>
      </c>
      <c r="FM5">
        <v>18</v>
      </c>
      <c r="FN5">
        <v>43</v>
      </c>
      <c r="FO5">
        <v>34</v>
      </c>
      <c r="FP5">
        <v>13</v>
      </c>
      <c r="FQ5">
        <v>21</v>
      </c>
      <c r="FR5">
        <v>36</v>
      </c>
      <c r="FS5">
        <v>19</v>
      </c>
      <c r="FT5">
        <v>19</v>
      </c>
      <c r="FU5">
        <v>12</v>
      </c>
      <c r="FV5">
        <v>40</v>
      </c>
      <c r="FW5">
        <v>40</v>
      </c>
      <c r="FX5">
        <v>36</v>
      </c>
      <c r="FY5">
        <v>33</v>
      </c>
      <c r="FZ5">
        <v>25</v>
      </c>
      <c r="GA5">
        <v>28</v>
      </c>
      <c r="GB5">
        <v>16</v>
      </c>
      <c r="GC5">
        <v>28</v>
      </c>
      <c r="GD5">
        <v>48</v>
      </c>
      <c r="GE5">
        <v>22</v>
      </c>
      <c r="GF5">
        <v>40</v>
      </c>
      <c r="GG5">
        <v>43</v>
      </c>
      <c r="GH5">
        <v>43</v>
      </c>
      <c r="GI5">
        <v>15</v>
      </c>
      <c r="GJ5">
        <v>37</v>
      </c>
      <c r="GK5">
        <v>39</v>
      </c>
      <c r="GL5">
        <v>30</v>
      </c>
      <c r="GM5">
        <v>8</v>
      </c>
      <c r="GN5">
        <v>18</v>
      </c>
      <c r="GO5">
        <v>24</v>
      </c>
      <c r="GP5">
        <v>13</v>
      </c>
      <c r="GQ5">
        <v>26</v>
      </c>
      <c r="GR5">
        <v>23</v>
      </c>
      <c r="GS5">
        <v>29</v>
      </c>
      <c r="GT5">
        <v>14</v>
      </c>
      <c r="GU5">
        <v>12</v>
      </c>
      <c r="GV5">
        <v>24</v>
      </c>
      <c r="GW5">
        <v>34</v>
      </c>
      <c r="GX5">
        <v>41</v>
      </c>
      <c r="GY5">
        <v>32</v>
      </c>
      <c r="GZ5">
        <v>49</v>
      </c>
      <c r="HA5">
        <v>30</v>
      </c>
      <c r="HB5">
        <v>23</v>
      </c>
      <c r="HC5">
        <v>22</v>
      </c>
      <c r="HD5">
        <v>35</v>
      </c>
      <c r="HE5">
        <v>33</v>
      </c>
      <c r="HF5">
        <v>29</v>
      </c>
      <c r="HG5">
        <v>41</v>
      </c>
      <c r="HH5">
        <v>18</v>
      </c>
      <c r="HI5">
        <v>46</v>
      </c>
      <c r="HJ5">
        <v>32</v>
      </c>
      <c r="HK5">
        <v>39</v>
      </c>
      <c r="HL5">
        <v>30</v>
      </c>
      <c r="HM5">
        <v>46</v>
      </c>
      <c r="HN5">
        <v>25</v>
      </c>
      <c r="HO5">
        <v>16</v>
      </c>
      <c r="HP5">
        <v>11</v>
      </c>
      <c r="HQ5">
        <v>23</v>
      </c>
      <c r="HR5">
        <v>27</v>
      </c>
      <c r="HS5">
        <v>63</v>
      </c>
      <c r="HT5">
        <v>12</v>
      </c>
      <c r="HU5">
        <v>45</v>
      </c>
      <c r="HV5">
        <v>37</v>
      </c>
      <c r="HW5">
        <v>18</v>
      </c>
      <c r="HX5">
        <v>13</v>
      </c>
      <c r="HY5">
        <v>32</v>
      </c>
      <c r="HZ5">
        <v>28</v>
      </c>
      <c r="IA5">
        <v>28</v>
      </c>
      <c r="IB5">
        <v>48</v>
      </c>
      <c r="IC5">
        <v>33</v>
      </c>
      <c r="ID5">
        <v>22</v>
      </c>
      <c r="IE5">
        <v>40</v>
      </c>
      <c r="IF5">
        <v>13</v>
      </c>
      <c r="IG5">
        <v>10</v>
      </c>
      <c r="IH5">
        <v>36</v>
      </c>
      <c r="II5">
        <v>41</v>
      </c>
      <c r="IJ5">
        <v>45</v>
      </c>
      <c r="IK5">
        <v>17</v>
      </c>
      <c r="IL5">
        <v>38</v>
      </c>
      <c r="IM5">
        <v>30</v>
      </c>
      <c r="IN5">
        <v>22</v>
      </c>
      <c r="IO5">
        <v>31</v>
      </c>
      <c r="IP5">
        <v>42</v>
      </c>
      <c r="IQ5">
        <v>41</v>
      </c>
      <c r="IR5">
        <v>32</v>
      </c>
      <c r="IS5">
        <v>28</v>
      </c>
      <c r="IT5">
        <v>18</v>
      </c>
      <c r="IU5">
        <v>15</v>
      </c>
      <c r="IV5">
        <v>33</v>
      </c>
      <c r="IW5">
        <v>32</v>
      </c>
      <c r="IX5">
        <v>19</v>
      </c>
      <c r="IY5">
        <v>25</v>
      </c>
      <c r="IZ5">
        <v>26</v>
      </c>
      <c r="JA5">
        <v>23</v>
      </c>
      <c r="JB5">
        <v>23</v>
      </c>
      <c r="JC5">
        <v>17</v>
      </c>
      <c r="JD5">
        <v>19</v>
      </c>
      <c r="JE5">
        <v>18</v>
      </c>
      <c r="JF5">
        <v>34</v>
      </c>
      <c r="JG5">
        <v>7</v>
      </c>
      <c r="JH5">
        <v>32</v>
      </c>
      <c r="JI5">
        <v>33</v>
      </c>
      <c r="JJ5">
        <v>19</v>
      </c>
      <c r="JK5">
        <v>15</v>
      </c>
      <c r="JL5">
        <v>31</v>
      </c>
      <c r="JM5">
        <v>18</v>
      </c>
      <c r="JN5">
        <v>52</v>
      </c>
      <c r="JO5">
        <v>30</v>
      </c>
      <c r="JP5">
        <v>37</v>
      </c>
      <c r="JQ5">
        <v>49</v>
      </c>
      <c r="JR5">
        <v>40</v>
      </c>
      <c r="JS5">
        <v>25</v>
      </c>
      <c r="JT5">
        <v>23</v>
      </c>
      <c r="JU5">
        <v>29</v>
      </c>
      <c r="JV5">
        <v>35</v>
      </c>
      <c r="JW5">
        <v>27</v>
      </c>
      <c r="JX5">
        <v>21</v>
      </c>
      <c r="JY5">
        <v>43</v>
      </c>
      <c r="JZ5">
        <v>30</v>
      </c>
      <c r="KA5">
        <v>24</v>
      </c>
      <c r="KB5">
        <v>23</v>
      </c>
      <c r="KC5">
        <v>33</v>
      </c>
      <c r="KD5">
        <v>32</v>
      </c>
      <c r="KE5">
        <v>34</v>
      </c>
      <c r="KF5">
        <v>19</v>
      </c>
      <c r="KG5">
        <v>14</v>
      </c>
      <c r="KH5">
        <v>30</v>
      </c>
      <c r="KI5">
        <v>32</v>
      </c>
      <c r="KJ5">
        <v>29</v>
      </c>
      <c r="KK5">
        <v>30</v>
      </c>
      <c r="KL5">
        <v>31</v>
      </c>
      <c r="KM5">
        <v>17</v>
      </c>
      <c r="KN5">
        <v>30</v>
      </c>
      <c r="KO5">
        <v>47</v>
      </c>
      <c r="KP5">
        <v>20</v>
      </c>
      <c r="KQ5">
        <v>24</v>
      </c>
      <c r="KR5">
        <v>27</v>
      </c>
      <c r="KS5">
        <v>50</v>
      </c>
      <c r="KT5">
        <v>22</v>
      </c>
      <c r="KU5">
        <v>45</v>
      </c>
      <c r="KV5">
        <v>14</v>
      </c>
      <c r="KW5">
        <v>19</v>
      </c>
      <c r="KX5">
        <v>18</v>
      </c>
      <c r="KY5">
        <v>29</v>
      </c>
      <c r="KZ5">
        <v>42</v>
      </c>
      <c r="LA5">
        <v>25</v>
      </c>
      <c r="LB5">
        <v>39</v>
      </c>
      <c r="LC5">
        <v>13</v>
      </c>
      <c r="LD5">
        <v>21</v>
      </c>
      <c r="LE5">
        <v>22</v>
      </c>
      <c r="LF5">
        <v>42</v>
      </c>
      <c r="LG5">
        <v>26</v>
      </c>
      <c r="LH5">
        <v>13</v>
      </c>
      <c r="LI5">
        <v>42</v>
      </c>
      <c r="LJ5">
        <v>27</v>
      </c>
      <c r="LK5">
        <v>47</v>
      </c>
      <c r="LL5">
        <v>40</v>
      </c>
      <c r="LM5">
        <v>17</v>
      </c>
      <c r="LN5">
        <v>18</v>
      </c>
      <c r="LO5">
        <v>32</v>
      </c>
      <c r="LP5">
        <v>12</v>
      </c>
      <c r="LQ5">
        <v>17</v>
      </c>
      <c r="LR5">
        <v>30</v>
      </c>
      <c r="LS5">
        <v>35</v>
      </c>
      <c r="LT5">
        <v>17</v>
      </c>
      <c r="LU5">
        <v>36</v>
      </c>
      <c r="LV5">
        <v>35</v>
      </c>
      <c r="LW5">
        <v>25</v>
      </c>
      <c r="LX5">
        <v>23</v>
      </c>
      <c r="LY5">
        <v>40</v>
      </c>
      <c r="LZ5">
        <v>28</v>
      </c>
      <c r="MA5">
        <v>27</v>
      </c>
      <c r="MB5">
        <v>35</v>
      </c>
      <c r="MC5">
        <v>48</v>
      </c>
      <c r="MD5">
        <v>31</v>
      </c>
      <c r="ME5">
        <v>46</v>
      </c>
      <c r="MF5">
        <v>46</v>
      </c>
      <c r="MG5">
        <v>45</v>
      </c>
      <c r="MH5">
        <v>33</v>
      </c>
      <c r="MI5">
        <v>30</v>
      </c>
      <c r="MJ5">
        <v>26</v>
      </c>
      <c r="MK5">
        <v>23</v>
      </c>
      <c r="ML5">
        <v>35</v>
      </c>
      <c r="MM5">
        <v>17</v>
      </c>
      <c r="MN5">
        <v>28</v>
      </c>
      <c r="MO5">
        <v>39</v>
      </c>
      <c r="MP5">
        <v>26</v>
      </c>
      <c r="MQ5">
        <v>26</v>
      </c>
      <c r="MR5">
        <v>46</v>
      </c>
      <c r="MS5">
        <v>32</v>
      </c>
      <c r="MT5">
        <v>49</v>
      </c>
      <c r="MU5">
        <v>24</v>
      </c>
      <c r="MV5">
        <v>19</v>
      </c>
      <c r="MW5">
        <v>11</v>
      </c>
      <c r="MX5">
        <v>27</v>
      </c>
      <c r="MY5">
        <v>20</v>
      </c>
      <c r="MZ5">
        <v>21</v>
      </c>
      <c r="NA5">
        <v>32</v>
      </c>
      <c r="NB5">
        <v>13</v>
      </c>
      <c r="NC5">
        <v>27</v>
      </c>
      <c r="ND5">
        <v>20</v>
      </c>
      <c r="NE5">
        <v>33</v>
      </c>
      <c r="NF5">
        <v>39</v>
      </c>
      <c r="NG5">
        <v>46</v>
      </c>
      <c r="NH5">
        <v>36</v>
      </c>
      <c r="NI5">
        <v>29</v>
      </c>
      <c r="NJ5">
        <v>30</v>
      </c>
      <c r="NK5">
        <v>29</v>
      </c>
      <c r="NL5">
        <v>23</v>
      </c>
      <c r="NM5">
        <v>37</v>
      </c>
      <c r="NN5">
        <v>27</v>
      </c>
      <c r="NO5">
        <v>27</v>
      </c>
      <c r="NP5">
        <v>17</v>
      </c>
      <c r="NQ5">
        <v>37</v>
      </c>
      <c r="NR5">
        <v>20</v>
      </c>
      <c r="NS5">
        <v>18</v>
      </c>
      <c r="NT5">
        <v>37</v>
      </c>
      <c r="NU5">
        <v>33</v>
      </c>
      <c r="NV5">
        <v>41</v>
      </c>
      <c r="NW5">
        <v>22</v>
      </c>
      <c r="NX5">
        <v>39</v>
      </c>
      <c r="NY5">
        <v>44</v>
      </c>
      <c r="NZ5">
        <v>39</v>
      </c>
      <c r="OA5">
        <v>26</v>
      </c>
      <c r="OB5">
        <v>48</v>
      </c>
      <c r="OC5">
        <v>23</v>
      </c>
    </row>
    <row r="6" spans="1:393">
      <c r="A6" s="1" t="s">
        <v>4</v>
      </c>
      <c r="B6">
        <v>94</v>
      </c>
      <c r="C6">
        <v>168</v>
      </c>
      <c r="D6">
        <v>88</v>
      </c>
      <c r="E6">
        <v>543</v>
      </c>
      <c r="F6">
        <v>846</v>
      </c>
      <c r="G6">
        <v>175</v>
      </c>
      <c r="H6">
        <v>230</v>
      </c>
      <c r="I6">
        <v>83</v>
      </c>
      <c r="J6">
        <v>96</v>
      </c>
      <c r="K6">
        <v>235</v>
      </c>
      <c r="L6">
        <v>146</v>
      </c>
      <c r="M6">
        <v>115</v>
      </c>
      <c r="N6">
        <v>140</v>
      </c>
      <c r="O6">
        <v>110</v>
      </c>
      <c r="P6">
        <v>245</v>
      </c>
      <c r="Q6">
        <v>54</v>
      </c>
      <c r="R6">
        <v>192</v>
      </c>
      <c r="S6">
        <v>207</v>
      </c>
      <c r="T6">
        <v>70</v>
      </c>
      <c r="U6">
        <v>240</v>
      </c>
      <c r="V6">
        <v>82</v>
      </c>
      <c r="W6">
        <v>36</v>
      </c>
      <c r="X6">
        <v>23</v>
      </c>
      <c r="Y6">
        <v>300</v>
      </c>
      <c r="Z6">
        <v>342</v>
      </c>
      <c r="AA6">
        <v>304</v>
      </c>
      <c r="AB6">
        <v>110</v>
      </c>
      <c r="AC6">
        <v>142</v>
      </c>
      <c r="AD6">
        <v>128</v>
      </c>
      <c r="AE6">
        <v>38</v>
      </c>
      <c r="AF6">
        <v>100</v>
      </c>
      <c r="AG6">
        <v>90</v>
      </c>
      <c r="AH6">
        <v>140</v>
      </c>
      <c r="AI6">
        <v>270</v>
      </c>
      <c r="AJ6">
        <v>71</v>
      </c>
      <c r="AK6">
        <v>125</v>
      </c>
      <c r="AL6">
        <v>71</v>
      </c>
      <c r="AM6">
        <v>110</v>
      </c>
      <c r="AN6">
        <v>176</v>
      </c>
      <c r="AO6">
        <v>48</v>
      </c>
      <c r="AP6">
        <v>64</v>
      </c>
      <c r="AQ6">
        <v>228</v>
      </c>
      <c r="AR6">
        <v>76</v>
      </c>
      <c r="AS6">
        <v>64</v>
      </c>
      <c r="AT6">
        <v>220</v>
      </c>
      <c r="AU6">
        <v>40</v>
      </c>
      <c r="AV6">
        <v>152</v>
      </c>
      <c r="AW6">
        <v>140</v>
      </c>
      <c r="AX6">
        <v>18</v>
      </c>
      <c r="AY6">
        <v>36</v>
      </c>
      <c r="AZ6">
        <v>135</v>
      </c>
      <c r="BA6">
        <v>495</v>
      </c>
      <c r="BB6">
        <v>37</v>
      </c>
      <c r="BC6">
        <v>175</v>
      </c>
      <c r="BD6">
        <v>51</v>
      </c>
      <c r="BE6">
        <v>100</v>
      </c>
      <c r="BF6">
        <v>100</v>
      </c>
      <c r="BG6">
        <v>99</v>
      </c>
      <c r="BH6">
        <v>135</v>
      </c>
      <c r="BI6">
        <v>94</v>
      </c>
      <c r="BJ6">
        <v>145</v>
      </c>
      <c r="BK6">
        <v>168</v>
      </c>
      <c r="BL6">
        <v>225</v>
      </c>
      <c r="BM6">
        <v>49</v>
      </c>
      <c r="BN6">
        <v>140</v>
      </c>
      <c r="BO6">
        <v>50</v>
      </c>
      <c r="BP6">
        <v>92</v>
      </c>
      <c r="BQ6">
        <v>325</v>
      </c>
      <c r="BR6">
        <v>63</v>
      </c>
      <c r="BS6">
        <v>284</v>
      </c>
      <c r="BT6">
        <v>119</v>
      </c>
      <c r="BU6">
        <v>204</v>
      </c>
      <c r="BV6">
        <v>155</v>
      </c>
      <c r="BW6">
        <v>485</v>
      </c>
      <c r="BX6">
        <v>94</v>
      </c>
      <c r="BY6">
        <v>135</v>
      </c>
      <c r="BZ6">
        <v>53</v>
      </c>
      <c r="CA6">
        <v>114</v>
      </c>
      <c r="CB6">
        <v>105</v>
      </c>
      <c r="CC6">
        <v>285</v>
      </c>
      <c r="CD6">
        <v>156</v>
      </c>
      <c r="CE6">
        <v>78</v>
      </c>
      <c r="CF6">
        <v>130</v>
      </c>
      <c r="CG6">
        <v>48</v>
      </c>
      <c r="CH6">
        <v>55</v>
      </c>
      <c r="CI6">
        <v>130</v>
      </c>
      <c r="CJ6">
        <v>130</v>
      </c>
      <c r="CK6">
        <v>92</v>
      </c>
      <c r="CL6">
        <v>495</v>
      </c>
      <c r="CM6">
        <v>58</v>
      </c>
      <c r="CN6">
        <v>114</v>
      </c>
      <c r="CO6">
        <v>160</v>
      </c>
      <c r="CP6">
        <v>94</v>
      </c>
      <c r="CQ6">
        <v>210</v>
      </c>
      <c r="CR6">
        <v>48</v>
      </c>
      <c r="CS6">
        <v>99</v>
      </c>
      <c r="CT6">
        <v>318</v>
      </c>
      <c r="CU6">
        <v>44</v>
      </c>
      <c r="CV6">
        <v>190</v>
      </c>
      <c r="CW6">
        <v>280</v>
      </c>
      <c r="CX6">
        <v>87</v>
      </c>
      <c r="CY6">
        <v>130</v>
      </c>
      <c r="CZ6">
        <v>175</v>
      </c>
      <c r="DA6">
        <v>271</v>
      </c>
      <c r="DB6">
        <v>129</v>
      </c>
      <c r="DC6">
        <v>120</v>
      </c>
      <c r="DD6">
        <v>478</v>
      </c>
      <c r="DE6">
        <v>190</v>
      </c>
      <c r="DF6">
        <v>56</v>
      </c>
      <c r="DG6">
        <v>32</v>
      </c>
      <c r="DH6">
        <v>744</v>
      </c>
      <c r="DI6">
        <v>53</v>
      </c>
      <c r="DJ6">
        <v>370</v>
      </c>
      <c r="DK6">
        <v>37</v>
      </c>
      <c r="DL6">
        <v>45</v>
      </c>
      <c r="DM6">
        <v>192</v>
      </c>
      <c r="DN6">
        <v>88</v>
      </c>
      <c r="DO6">
        <v>176</v>
      </c>
      <c r="DP6">
        <v>194</v>
      </c>
      <c r="DQ6">
        <v>680</v>
      </c>
      <c r="DR6">
        <v>402</v>
      </c>
      <c r="DS6">
        <v>55</v>
      </c>
      <c r="DT6">
        <v>258</v>
      </c>
      <c r="DU6">
        <v>375</v>
      </c>
      <c r="DV6">
        <v>150</v>
      </c>
      <c r="DW6">
        <v>130</v>
      </c>
      <c r="DX6">
        <v>67</v>
      </c>
      <c r="DY6">
        <v>56</v>
      </c>
      <c r="DZ6">
        <v>45</v>
      </c>
      <c r="EA6">
        <v>57</v>
      </c>
      <c r="EB6">
        <v>116</v>
      </c>
      <c r="EC6">
        <v>278</v>
      </c>
      <c r="ED6">
        <v>122</v>
      </c>
      <c r="EE6">
        <v>155</v>
      </c>
      <c r="EF6">
        <v>135</v>
      </c>
      <c r="EG6">
        <v>545</v>
      </c>
      <c r="EH6">
        <v>220</v>
      </c>
      <c r="EI6">
        <v>49</v>
      </c>
      <c r="EJ6">
        <v>75</v>
      </c>
      <c r="EK6">
        <v>40</v>
      </c>
      <c r="EL6">
        <v>74</v>
      </c>
      <c r="EM6">
        <v>182</v>
      </c>
      <c r="EN6">
        <v>194</v>
      </c>
      <c r="EO6">
        <v>120</v>
      </c>
      <c r="EP6">
        <v>360</v>
      </c>
      <c r="EQ6">
        <v>215</v>
      </c>
      <c r="ER6">
        <v>184</v>
      </c>
      <c r="ES6">
        <v>135</v>
      </c>
      <c r="ET6">
        <v>42</v>
      </c>
      <c r="EU6">
        <v>105</v>
      </c>
      <c r="EV6">
        <v>132</v>
      </c>
      <c r="EW6">
        <v>148</v>
      </c>
      <c r="EX6">
        <v>180</v>
      </c>
      <c r="EY6">
        <v>205</v>
      </c>
      <c r="EZ6">
        <v>148</v>
      </c>
      <c r="FA6">
        <v>96</v>
      </c>
      <c r="FB6">
        <v>85</v>
      </c>
      <c r="FC6">
        <v>94</v>
      </c>
      <c r="FD6">
        <v>64</v>
      </c>
      <c r="FE6">
        <v>140</v>
      </c>
      <c r="FF6">
        <v>231</v>
      </c>
      <c r="FG6">
        <v>29</v>
      </c>
      <c r="FH6">
        <v>168</v>
      </c>
      <c r="FI6">
        <v>156</v>
      </c>
      <c r="FJ6">
        <v>120</v>
      </c>
      <c r="FK6">
        <v>68</v>
      </c>
      <c r="FL6">
        <v>52</v>
      </c>
      <c r="FM6">
        <v>58</v>
      </c>
      <c r="FN6">
        <v>255</v>
      </c>
      <c r="FO6">
        <v>171</v>
      </c>
      <c r="FP6">
        <v>105</v>
      </c>
      <c r="FQ6">
        <v>73</v>
      </c>
      <c r="FR6">
        <v>108</v>
      </c>
      <c r="FS6">
        <v>83</v>
      </c>
      <c r="FT6">
        <v>74</v>
      </c>
      <c r="FU6">
        <v>43</v>
      </c>
      <c r="FV6">
        <v>167</v>
      </c>
      <c r="FW6">
        <v>54</v>
      </c>
      <c r="FX6">
        <v>249</v>
      </c>
      <c r="FY6">
        <v>325</v>
      </c>
      <c r="FZ6">
        <v>293</v>
      </c>
      <c r="GA6">
        <v>83</v>
      </c>
      <c r="GB6">
        <v>66</v>
      </c>
      <c r="GC6">
        <v>140</v>
      </c>
      <c r="GD6">
        <v>465</v>
      </c>
      <c r="GE6">
        <v>66</v>
      </c>
      <c r="GF6">
        <v>94</v>
      </c>
      <c r="GG6">
        <v>158</v>
      </c>
      <c r="GH6">
        <v>325</v>
      </c>
      <c r="GI6">
        <v>84</v>
      </c>
      <c r="GJ6">
        <v>75</v>
      </c>
      <c r="GK6">
        <v>72</v>
      </c>
      <c r="GL6">
        <v>82</v>
      </c>
      <c r="GM6">
        <v>182</v>
      </c>
      <c r="GN6">
        <v>59</v>
      </c>
      <c r="GO6">
        <v>110</v>
      </c>
      <c r="GP6">
        <v>50</v>
      </c>
      <c r="GQ6">
        <v>285</v>
      </c>
      <c r="GR6">
        <v>81</v>
      </c>
      <c r="GS6">
        <v>196</v>
      </c>
      <c r="GT6">
        <v>415</v>
      </c>
      <c r="GU6">
        <v>87</v>
      </c>
      <c r="GV6">
        <v>275</v>
      </c>
      <c r="GW6">
        <v>115</v>
      </c>
      <c r="GX6">
        <v>88</v>
      </c>
      <c r="GY6">
        <v>165</v>
      </c>
      <c r="GZ6">
        <v>579</v>
      </c>
      <c r="HA6">
        <v>176</v>
      </c>
      <c r="HB6">
        <v>310</v>
      </c>
      <c r="HC6">
        <v>61</v>
      </c>
      <c r="HD6">
        <v>167</v>
      </c>
      <c r="HE6">
        <v>474</v>
      </c>
      <c r="HF6">
        <v>115</v>
      </c>
      <c r="HG6">
        <v>170</v>
      </c>
      <c r="HH6">
        <v>76</v>
      </c>
      <c r="HI6">
        <v>78</v>
      </c>
      <c r="HJ6">
        <v>210</v>
      </c>
      <c r="HK6">
        <v>277</v>
      </c>
      <c r="HL6">
        <v>180</v>
      </c>
      <c r="HM6">
        <v>145</v>
      </c>
      <c r="HN6">
        <v>180</v>
      </c>
      <c r="HO6">
        <v>85</v>
      </c>
      <c r="HP6">
        <v>60</v>
      </c>
      <c r="HQ6">
        <v>50</v>
      </c>
      <c r="HR6">
        <v>120</v>
      </c>
      <c r="HS6">
        <v>14</v>
      </c>
      <c r="HT6">
        <v>70</v>
      </c>
      <c r="HU6">
        <v>92</v>
      </c>
      <c r="HV6">
        <v>64</v>
      </c>
      <c r="HW6">
        <v>63</v>
      </c>
      <c r="HX6">
        <v>95</v>
      </c>
      <c r="HY6">
        <v>210</v>
      </c>
      <c r="HZ6">
        <v>105</v>
      </c>
      <c r="IA6">
        <v>71</v>
      </c>
      <c r="IB6">
        <v>237</v>
      </c>
      <c r="IC6">
        <v>60</v>
      </c>
      <c r="ID6">
        <v>56</v>
      </c>
      <c r="IE6">
        <v>49</v>
      </c>
      <c r="IF6">
        <v>105</v>
      </c>
      <c r="IG6">
        <v>36</v>
      </c>
      <c r="IH6">
        <v>100</v>
      </c>
      <c r="II6">
        <v>140</v>
      </c>
      <c r="IJ6">
        <v>191</v>
      </c>
      <c r="IK6">
        <v>110</v>
      </c>
      <c r="IL6">
        <v>75</v>
      </c>
      <c r="IM6">
        <v>328</v>
      </c>
      <c r="IN6">
        <v>49</v>
      </c>
      <c r="IO6">
        <v>125</v>
      </c>
      <c r="IP6">
        <v>250</v>
      </c>
      <c r="IQ6">
        <v>480</v>
      </c>
      <c r="IR6">
        <v>265</v>
      </c>
      <c r="IS6">
        <v>66</v>
      </c>
      <c r="IT6">
        <v>122</v>
      </c>
      <c r="IU6">
        <v>76</v>
      </c>
      <c r="IV6">
        <v>145</v>
      </c>
      <c r="IW6">
        <v>193</v>
      </c>
      <c r="IX6">
        <v>71</v>
      </c>
      <c r="IY6">
        <v>79</v>
      </c>
      <c r="IZ6">
        <v>90</v>
      </c>
      <c r="JA6">
        <v>170</v>
      </c>
      <c r="JB6">
        <v>76</v>
      </c>
      <c r="JC6">
        <v>210</v>
      </c>
      <c r="JD6">
        <v>86</v>
      </c>
      <c r="JE6">
        <v>105</v>
      </c>
      <c r="JF6">
        <v>165</v>
      </c>
      <c r="JG6">
        <v>326</v>
      </c>
      <c r="JH6">
        <v>66</v>
      </c>
      <c r="JI6">
        <v>130</v>
      </c>
      <c r="JJ6">
        <v>82</v>
      </c>
      <c r="JK6">
        <v>105</v>
      </c>
      <c r="JL6">
        <v>188</v>
      </c>
      <c r="JM6">
        <v>106</v>
      </c>
      <c r="JN6">
        <v>65</v>
      </c>
      <c r="JO6">
        <v>56</v>
      </c>
      <c r="JP6">
        <v>210</v>
      </c>
      <c r="JQ6">
        <v>155</v>
      </c>
      <c r="JR6">
        <v>215</v>
      </c>
      <c r="JS6">
        <v>190</v>
      </c>
      <c r="JT6">
        <v>56</v>
      </c>
      <c r="JU6">
        <v>76</v>
      </c>
      <c r="JV6">
        <v>225</v>
      </c>
      <c r="JW6">
        <v>207</v>
      </c>
      <c r="JX6">
        <v>166</v>
      </c>
      <c r="JY6">
        <v>67</v>
      </c>
      <c r="JZ6">
        <v>106</v>
      </c>
      <c r="KA6">
        <v>44</v>
      </c>
      <c r="KB6">
        <v>115</v>
      </c>
      <c r="KC6">
        <v>215</v>
      </c>
      <c r="KD6">
        <v>274</v>
      </c>
      <c r="KE6">
        <v>77</v>
      </c>
      <c r="KF6">
        <v>54</v>
      </c>
      <c r="KG6">
        <v>88</v>
      </c>
      <c r="KH6">
        <v>18</v>
      </c>
      <c r="KI6">
        <v>126</v>
      </c>
      <c r="KJ6">
        <v>126</v>
      </c>
      <c r="KK6">
        <v>165</v>
      </c>
      <c r="KL6">
        <v>44</v>
      </c>
      <c r="KM6">
        <v>120</v>
      </c>
      <c r="KN6">
        <v>330</v>
      </c>
      <c r="KO6">
        <v>63</v>
      </c>
      <c r="KP6">
        <v>130</v>
      </c>
      <c r="KQ6">
        <v>600</v>
      </c>
      <c r="KR6">
        <v>156</v>
      </c>
      <c r="KS6">
        <v>140</v>
      </c>
      <c r="KT6">
        <v>115</v>
      </c>
      <c r="KU6">
        <v>230</v>
      </c>
      <c r="KV6">
        <v>185</v>
      </c>
      <c r="KW6">
        <v>25</v>
      </c>
      <c r="KX6">
        <v>120</v>
      </c>
      <c r="KY6">
        <v>126</v>
      </c>
      <c r="KZ6">
        <v>293</v>
      </c>
      <c r="LA6">
        <v>41</v>
      </c>
      <c r="LB6">
        <v>272</v>
      </c>
      <c r="LC6">
        <v>182</v>
      </c>
      <c r="LD6">
        <v>158</v>
      </c>
      <c r="LE6">
        <v>194</v>
      </c>
      <c r="LF6">
        <v>321</v>
      </c>
      <c r="LG6">
        <v>144</v>
      </c>
      <c r="LH6">
        <v>15</v>
      </c>
      <c r="LI6">
        <v>160</v>
      </c>
      <c r="LJ6">
        <v>115</v>
      </c>
      <c r="LK6">
        <v>54</v>
      </c>
      <c r="LL6">
        <v>90</v>
      </c>
      <c r="LM6">
        <v>183</v>
      </c>
      <c r="LN6">
        <v>66</v>
      </c>
      <c r="LO6">
        <v>91</v>
      </c>
      <c r="LP6">
        <v>46</v>
      </c>
      <c r="LQ6">
        <v>105</v>
      </c>
      <c r="LR6">
        <v>152</v>
      </c>
      <c r="LS6">
        <v>440</v>
      </c>
      <c r="LT6">
        <v>144</v>
      </c>
      <c r="LU6">
        <v>159</v>
      </c>
      <c r="LV6">
        <v>130</v>
      </c>
      <c r="LW6">
        <v>100</v>
      </c>
      <c r="LX6">
        <v>106</v>
      </c>
      <c r="LY6">
        <v>77</v>
      </c>
      <c r="LZ6">
        <v>135</v>
      </c>
      <c r="MA6">
        <v>540</v>
      </c>
      <c r="MB6">
        <v>90</v>
      </c>
      <c r="MC6">
        <v>200</v>
      </c>
      <c r="MD6">
        <v>70</v>
      </c>
      <c r="ME6">
        <v>231</v>
      </c>
      <c r="MF6">
        <v>130</v>
      </c>
      <c r="MG6">
        <v>132</v>
      </c>
      <c r="MH6">
        <v>190</v>
      </c>
      <c r="MI6">
        <v>100</v>
      </c>
      <c r="MJ6">
        <v>168</v>
      </c>
      <c r="MK6">
        <v>49</v>
      </c>
      <c r="ML6">
        <v>240</v>
      </c>
      <c r="MM6">
        <v>265</v>
      </c>
      <c r="MN6">
        <v>45</v>
      </c>
      <c r="MO6">
        <v>105</v>
      </c>
      <c r="MP6">
        <v>205</v>
      </c>
      <c r="MQ6">
        <v>180</v>
      </c>
      <c r="MR6">
        <v>180</v>
      </c>
      <c r="MS6">
        <v>95</v>
      </c>
      <c r="MT6">
        <v>125</v>
      </c>
      <c r="MU6">
        <v>480</v>
      </c>
      <c r="MV6">
        <v>125</v>
      </c>
      <c r="MW6">
        <v>155</v>
      </c>
      <c r="MX6">
        <v>200</v>
      </c>
      <c r="MY6">
        <v>100</v>
      </c>
      <c r="MZ6">
        <v>335</v>
      </c>
      <c r="NA6">
        <v>160</v>
      </c>
      <c r="NB6">
        <v>387</v>
      </c>
      <c r="NC6">
        <v>22</v>
      </c>
      <c r="ND6">
        <v>291</v>
      </c>
      <c r="NE6">
        <v>392</v>
      </c>
      <c r="NF6">
        <v>185</v>
      </c>
      <c r="NG6">
        <v>178</v>
      </c>
      <c r="NH6">
        <v>200</v>
      </c>
      <c r="NI6">
        <v>127</v>
      </c>
      <c r="NJ6">
        <v>105</v>
      </c>
      <c r="NK6">
        <v>180</v>
      </c>
      <c r="NL6">
        <v>79</v>
      </c>
      <c r="NM6">
        <v>120</v>
      </c>
      <c r="NN6">
        <v>165</v>
      </c>
      <c r="NO6">
        <v>120</v>
      </c>
      <c r="NP6">
        <v>160</v>
      </c>
      <c r="NQ6">
        <v>150</v>
      </c>
      <c r="NR6">
        <v>94</v>
      </c>
      <c r="NS6">
        <v>116</v>
      </c>
      <c r="NT6">
        <v>140</v>
      </c>
      <c r="NU6">
        <v>105</v>
      </c>
      <c r="NV6">
        <v>57</v>
      </c>
      <c r="NW6">
        <v>200</v>
      </c>
      <c r="NX6">
        <v>74</v>
      </c>
      <c r="NY6">
        <v>510</v>
      </c>
      <c r="NZ6">
        <v>110</v>
      </c>
      <c r="OA6">
        <v>16</v>
      </c>
      <c r="OB6">
        <v>180</v>
      </c>
      <c r="OC6">
        <v>112</v>
      </c>
    </row>
    <row r="7" spans="1:393">
      <c r="A7" s="1" t="s">
        <v>5</v>
      </c>
      <c r="B7">
        <v>28.1</v>
      </c>
      <c r="C7">
        <v>43.1</v>
      </c>
      <c r="D7">
        <v>31</v>
      </c>
      <c r="E7">
        <v>30.5</v>
      </c>
      <c r="F7">
        <v>30.1</v>
      </c>
      <c r="G7">
        <v>25.8</v>
      </c>
      <c r="H7">
        <v>45.8</v>
      </c>
      <c r="I7">
        <v>43.3</v>
      </c>
      <c r="J7">
        <v>34.6</v>
      </c>
      <c r="K7">
        <v>39.299999999999997</v>
      </c>
      <c r="L7">
        <v>36.6</v>
      </c>
      <c r="M7">
        <v>31.1</v>
      </c>
      <c r="N7">
        <v>23.2</v>
      </c>
      <c r="O7">
        <v>22.2</v>
      </c>
      <c r="P7">
        <v>31.6</v>
      </c>
      <c r="Q7">
        <v>24.8</v>
      </c>
      <c r="R7">
        <v>24</v>
      </c>
      <c r="S7">
        <v>37.1</v>
      </c>
      <c r="T7">
        <v>34</v>
      </c>
      <c r="U7">
        <v>45.4</v>
      </c>
      <c r="V7">
        <v>19.399999999999999</v>
      </c>
      <c r="W7">
        <v>24.2</v>
      </c>
      <c r="X7">
        <v>24.4</v>
      </c>
      <c r="Y7">
        <v>33.700000000000003</v>
      </c>
      <c r="Z7">
        <v>34.700000000000003</v>
      </c>
      <c r="AA7">
        <v>37.700000000000003</v>
      </c>
      <c r="AB7">
        <v>46.8</v>
      </c>
      <c r="AC7">
        <v>41.5</v>
      </c>
      <c r="AD7">
        <v>25.4</v>
      </c>
      <c r="AE7">
        <v>19.600000000000001</v>
      </c>
      <c r="AF7">
        <v>28.9</v>
      </c>
      <c r="AG7">
        <v>32.9</v>
      </c>
      <c r="AH7">
        <v>28.6</v>
      </c>
      <c r="AI7">
        <v>35.1</v>
      </c>
      <c r="AJ7">
        <v>29.3</v>
      </c>
      <c r="AK7">
        <v>32.4</v>
      </c>
      <c r="AL7">
        <v>38.5</v>
      </c>
      <c r="AM7">
        <v>37.1</v>
      </c>
      <c r="AN7">
        <v>32</v>
      </c>
      <c r="AO7">
        <v>46.7</v>
      </c>
      <c r="AP7">
        <v>24.7</v>
      </c>
      <c r="AQ7">
        <v>33.9</v>
      </c>
      <c r="AR7">
        <v>20.399999999999999</v>
      </c>
      <c r="AS7">
        <v>28.7</v>
      </c>
      <c r="AT7">
        <v>49.7</v>
      </c>
      <c r="AU7">
        <v>26.6</v>
      </c>
      <c r="AV7">
        <v>28.7</v>
      </c>
      <c r="AW7">
        <v>29.5</v>
      </c>
      <c r="AX7">
        <v>34.299999999999997</v>
      </c>
      <c r="AY7">
        <v>37.4</v>
      </c>
      <c r="AZ7">
        <v>33.299999999999997</v>
      </c>
      <c r="BA7">
        <v>34</v>
      </c>
      <c r="BB7">
        <v>31.2</v>
      </c>
      <c r="BC7">
        <v>30.5</v>
      </c>
      <c r="BD7">
        <v>23.2</v>
      </c>
      <c r="BE7">
        <v>53.2</v>
      </c>
      <c r="BF7">
        <v>33.6</v>
      </c>
      <c r="BG7">
        <v>55</v>
      </c>
      <c r="BH7">
        <v>42.9</v>
      </c>
      <c r="BI7">
        <v>33.299999999999997</v>
      </c>
      <c r="BJ7">
        <v>34.5</v>
      </c>
      <c r="BK7">
        <v>29.7</v>
      </c>
      <c r="BL7">
        <v>34.5</v>
      </c>
      <c r="BM7">
        <v>21.1</v>
      </c>
      <c r="BN7">
        <v>33.799999999999997</v>
      </c>
      <c r="BO7">
        <v>30.8</v>
      </c>
      <c r="BP7">
        <v>28.7</v>
      </c>
      <c r="BQ7">
        <v>36.9</v>
      </c>
      <c r="BR7">
        <v>32.5</v>
      </c>
      <c r="BS7">
        <v>32.799999999999997</v>
      </c>
      <c r="BT7">
        <v>30.5</v>
      </c>
      <c r="BU7">
        <v>37.4</v>
      </c>
      <c r="BV7">
        <v>34.299999999999997</v>
      </c>
      <c r="BW7">
        <v>40.6</v>
      </c>
      <c r="BX7">
        <v>24.6</v>
      </c>
      <c r="BY7">
        <v>25.2</v>
      </c>
      <c r="BZ7">
        <v>29</v>
      </c>
      <c r="CA7">
        <v>40.9</v>
      </c>
      <c r="CB7">
        <v>37.200000000000003</v>
      </c>
      <c r="CC7">
        <v>44.2</v>
      </c>
      <c r="CD7">
        <v>29.9</v>
      </c>
      <c r="CE7">
        <v>28.4</v>
      </c>
      <c r="CF7">
        <v>35.4</v>
      </c>
      <c r="CG7">
        <v>43.5</v>
      </c>
      <c r="CH7">
        <v>29.7</v>
      </c>
      <c r="CI7">
        <v>32.700000000000003</v>
      </c>
      <c r="CJ7">
        <v>67.099999999999994</v>
      </c>
      <c r="CK7">
        <v>34.9</v>
      </c>
      <c r="CL7">
        <v>30.1</v>
      </c>
      <c r="CM7">
        <v>32</v>
      </c>
      <c r="CN7">
        <v>27.9</v>
      </c>
      <c r="CO7">
        <v>31.6</v>
      </c>
      <c r="CP7">
        <v>33.1</v>
      </c>
      <c r="CQ7">
        <v>39.4</v>
      </c>
      <c r="CR7">
        <v>22.9</v>
      </c>
      <c r="CS7">
        <v>34.799999999999997</v>
      </c>
      <c r="CT7">
        <v>30.9</v>
      </c>
      <c r="CU7">
        <v>20.399999999999999</v>
      </c>
      <c r="CV7">
        <v>37.700000000000003</v>
      </c>
      <c r="CW7">
        <v>37.5</v>
      </c>
      <c r="CX7">
        <v>33.200000000000003</v>
      </c>
      <c r="CY7">
        <v>42.6</v>
      </c>
      <c r="CZ7">
        <v>34.200000000000003</v>
      </c>
      <c r="DA7">
        <v>41.8</v>
      </c>
      <c r="DB7">
        <v>35.799999999999997</v>
      </c>
      <c r="DC7">
        <v>30</v>
      </c>
      <c r="DD7">
        <v>34.6</v>
      </c>
      <c r="DE7">
        <v>28.8</v>
      </c>
      <c r="DF7">
        <v>23.6</v>
      </c>
      <c r="DG7">
        <v>34.6</v>
      </c>
      <c r="DH7">
        <v>36.700000000000003</v>
      </c>
      <c r="DI7">
        <v>45.2</v>
      </c>
      <c r="DJ7">
        <v>46.2</v>
      </c>
      <c r="DK7">
        <v>25.4</v>
      </c>
      <c r="DL7">
        <v>29.7</v>
      </c>
      <c r="DM7">
        <v>35.9</v>
      </c>
      <c r="DN7">
        <v>33.1</v>
      </c>
      <c r="DO7">
        <v>27.1</v>
      </c>
      <c r="DP7">
        <v>38.200000000000003</v>
      </c>
      <c r="DQ7">
        <v>52.3</v>
      </c>
      <c r="DR7">
        <v>35.4</v>
      </c>
      <c r="DS7">
        <v>24.4</v>
      </c>
      <c r="DT7">
        <v>27.6</v>
      </c>
      <c r="DU7">
        <v>25.9</v>
      </c>
      <c r="DV7">
        <v>33.299999999999997</v>
      </c>
      <c r="DW7">
        <v>30.9</v>
      </c>
      <c r="DX7">
        <v>33.6</v>
      </c>
      <c r="DY7">
        <v>25.2</v>
      </c>
      <c r="DZ7">
        <v>33.200000000000003</v>
      </c>
      <c r="EA7">
        <v>40.5</v>
      </c>
      <c r="EB7">
        <v>27.8</v>
      </c>
      <c r="EC7">
        <v>25.3</v>
      </c>
      <c r="ED7">
        <v>35.9</v>
      </c>
      <c r="EE7">
        <v>32.4</v>
      </c>
      <c r="EF7">
        <v>26</v>
      </c>
      <c r="EG7">
        <v>38.700000000000003</v>
      </c>
      <c r="EH7">
        <v>45.6</v>
      </c>
      <c r="EI7">
        <v>20.8</v>
      </c>
      <c r="EJ7">
        <v>36.1</v>
      </c>
      <c r="EK7">
        <v>36.9</v>
      </c>
      <c r="EL7">
        <v>36.6</v>
      </c>
      <c r="EM7">
        <v>43.3</v>
      </c>
      <c r="EN7">
        <v>40.5</v>
      </c>
      <c r="EO7">
        <v>35.5</v>
      </c>
      <c r="EP7">
        <v>28</v>
      </c>
      <c r="EQ7">
        <v>30.7</v>
      </c>
      <c r="ER7">
        <v>36.6</v>
      </c>
      <c r="ES7">
        <v>31.6</v>
      </c>
      <c r="ET7">
        <v>35.799999999999997</v>
      </c>
      <c r="EU7">
        <v>39.700000000000003</v>
      </c>
      <c r="EV7">
        <v>25.5</v>
      </c>
      <c r="EW7">
        <v>24.8</v>
      </c>
      <c r="EX7">
        <v>30.5</v>
      </c>
      <c r="EY7">
        <v>32.9</v>
      </c>
      <c r="EZ7">
        <v>39.4</v>
      </c>
      <c r="FA7">
        <v>26.6</v>
      </c>
      <c r="FB7">
        <v>29.5</v>
      </c>
      <c r="FC7">
        <v>34.1</v>
      </c>
      <c r="FD7">
        <v>19.3</v>
      </c>
      <c r="FE7">
        <v>38.1</v>
      </c>
      <c r="FF7">
        <v>27.5</v>
      </c>
      <c r="FG7">
        <v>26.8</v>
      </c>
      <c r="FH7">
        <v>25.6</v>
      </c>
      <c r="FI7">
        <v>35.1</v>
      </c>
      <c r="FJ7">
        <v>45.5</v>
      </c>
      <c r="FK7">
        <v>30.8</v>
      </c>
      <c r="FL7">
        <v>32.700000000000003</v>
      </c>
      <c r="FM7">
        <v>23.9</v>
      </c>
      <c r="FN7">
        <v>47.9</v>
      </c>
      <c r="FO7">
        <v>34.200000000000003</v>
      </c>
      <c r="FP7">
        <v>25.9</v>
      </c>
      <c r="FQ7">
        <v>25.9</v>
      </c>
      <c r="FR7">
        <v>38.5</v>
      </c>
      <c r="FS7">
        <v>28.7</v>
      </c>
      <c r="FT7">
        <v>21.8</v>
      </c>
      <c r="FU7">
        <v>27.2</v>
      </c>
      <c r="FV7">
        <v>33.299999999999997</v>
      </c>
      <c r="FW7">
        <v>35.299999999999997</v>
      </c>
      <c r="FX7">
        <v>36.5</v>
      </c>
      <c r="FY7">
        <v>31.2</v>
      </c>
      <c r="FZ7">
        <v>34.9</v>
      </c>
      <c r="GA7">
        <v>34</v>
      </c>
      <c r="GB7">
        <v>27.5</v>
      </c>
      <c r="GC7">
        <v>32.799999999999997</v>
      </c>
      <c r="GD7">
        <v>38.4</v>
      </c>
      <c r="GE7">
        <v>35.799999999999997</v>
      </c>
      <c r="GF7">
        <v>34.9</v>
      </c>
      <c r="GG7">
        <v>36.200000000000003</v>
      </c>
      <c r="GH7">
        <v>39.200000000000003</v>
      </c>
      <c r="GI7">
        <v>25.2</v>
      </c>
      <c r="GJ7">
        <v>37.200000000000003</v>
      </c>
      <c r="GK7">
        <v>43.4</v>
      </c>
      <c r="GL7">
        <v>30.8</v>
      </c>
      <c r="GM7">
        <v>25.4</v>
      </c>
      <c r="GN7">
        <v>25.1</v>
      </c>
      <c r="GO7">
        <v>24.3</v>
      </c>
      <c r="GP7">
        <v>22.3</v>
      </c>
      <c r="GQ7">
        <v>32</v>
      </c>
      <c r="GR7">
        <v>31.6</v>
      </c>
      <c r="GS7">
        <v>32</v>
      </c>
      <c r="GT7">
        <v>23.7</v>
      </c>
      <c r="GU7">
        <v>22.1</v>
      </c>
      <c r="GV7">
        <v>27.7</v>
      </c>
      <c r="GW7">
        <v>24.7</v>
      </c>
      <c r="GX7">
        <v>35</v>
      </c>
      <c r="GY7">
        <v>42.1</v>
      </c>
      <c r="GZ7">
        <v>42.4</v>
      </c>
      <c r="HA7">
        <v>34.4</v>
      </c>
      <c r="HB7">
        <v>42.4</v>
      </c>
      <c r="HC7">
        <v>26.2</v>
      </c>
      <c r="HD7">
        <v>34.6</v>
      </c>
      <c r="HE7">
        <v>35.700000000000003</v>
      </c>
      <c r="HF7">
        <v>26.4</v>
      </c>
      <c r="HG7">
        <v>45.3</v>
      </c>
      <c r="HH7">
        <v>26</v>
      </c>
      <c r="HI7">
        <v>40.6</v>
      </c>
      <c r="HJ7">
        <v>42.9</v>
      </c>
      <c r="HK7">
        <v>37</v>
      </c>
      <c r="HL7">
        <v>34.1</v>
      </c>
      <c r="HM7">
        <v>40.6</v>
      </c>
      <c r="HN7">
        <v>35</v>
      </c>
      <c r="HO7">
        <v>30.4</v>
      </c>
      <c r="HP7">
        <v>30</v>
      </c>
      <c r="HQ7">
        <v>32.200000000000003</v>
      </c>
      <c r="HR7">
        <v>33.200000000000003</v>
      </c>
      <c r="HS7">
        <v>59.4</v>
      </c>
      <c r="HT7">
        <v>25.3</v>
      </c>
      <c r="HU7">
        <v>36.5</v>
      </c>
      <c r="HV7">
        <v>33.6</v>
      </c>
      <c r="HW7">
        <v>30.5</v>
      </c>
      <c r="HX7">
        <v>21.2</v>
      </c>
      <c r="HY7">
        <v>39.9</v>
      </c>
      <c r="HZ7">
        <v>37.799999999999997</v>
      </c>
      <c r="IA7">
        <v>30.2</v>
      </c>
      <c r="IB7">
        <v>37.6</v>
      </c>
      <c r="IC7">
        <v>25.9</v>
      </c>
      <c r="ID7">
        <v>20.8</v>
      </c>
      <c r="IE7">
        <v>35.299999999999997</v>
      </c>
      <c r="IF7">
        <v>21.8</v>
      </c>
      <c r="IG7">
        <v>27.8</v>
      </c>
      <c r="IH7">
        <v>36.799999999999997</v>
      </c>
      <c r="II7">
        <v>46.1</v>
      </c>
      <c r="IJ7">
        <v>33.700000000000003</v>
      </c>
      <c r="IK7">
        <v>23.8</v>
      </c>
      <c r="IL7">
        <v>25.9</v>
      </c>
      <c r="IM7">
        <v>35.5</v>
      </c>
      <c r="IN7">
        <v>27.8</v>
      </c>
      <c r="IO7">
        <v>38.200000000000003</v>
      </c>
      <c r="IP7">
        <v>42.3</v>
      </c>
      <c r="IQ7">
        <v>40.700000000000003</v>
      </c>
      <c r="IR7">
        <v>46.5</v>
      </c>
      <c r="IS7">
        <v>36.799999999999997</v>
      </c>
      <c r="IT7">
        <v>28.9</v>
      </c>
      <c r="IU7">
        <v>30.1</v>
      </c>
      <c r="IV7">
        <v>25.1</v>
      </c>
      <c r="IW7">
        <v>29.3</v>
      </c>
      <c r="IX7">
        <v>25.2</v>
      </c>
      <c r="IY7">
        <v>33.299999999999997</v>
      </c>
      <c r="IZ7">
        <v>36.5</v>
      </c>
      <c r="JA7">
        <v>28.6</v>
      </c>
      <c r="JB7">
        <v>30.4</v>
      </c>
      <c r="JC7">
        <v>22.1</v>
      </c>
      <c r="JD7">
        <v>25.6</v>
      </c>
      <c r="JE7">
        <v>31.6</v>
      </c>
      <c r="JF7">
        <v>30.3</v>
      </c>
      <c r="JG7">
        <v>19.600000000000001</v>
      </c>
      <c r="JH7">
        <v>25</v>
      </c>
      <c r="JI7">
        <v>33.200000000000003</v>
      </c>
      <c r="JJ7">
        <v>18.2</v>
      </c>
      <c r="JK7">
        <v>26.3</v>
      </c>
      <c r="JL7">
        <v>30.8</v>
      </c>
      <c r="JM7">
        <v>29.8</v>
      </c>
      <c r="JN7">
        <v>41.3</v>
      </c>
      <c r="JO7">
        <v>33.299999999999997</v>
      </c>
      <c r="JP7">
        <v>36.299999999999997</v>
      </c>
      <c r="JQ7">
        <v>36.4</v>
      </c>
      <c r="JR7">
        <v>39.4</v>
      </c>
      <c r="JS7">
        <v>32.4</v>
      </c>
      <c r="JT7">
        <v>39.5</v>
      </c>
      <c r="JU7">
        <v>32</v>
      </c>
      <c r="JV7">
        <v>34.5</v>
      </c>
      <c r="JW7">
        <v>43.6</v>
      </c>
      <c r="JX7">
        <v>33.1</v>
      </c>
      <c r="JY7">
        <v>32.799999999999997</v>
      </c>
      <c r="JZ7">
        <v>31.9</v>
      </c>
      <c r="KA7">
        <v>29.9</v>
      </c>
      <c r="KB7">
        <v>36.9</v>
      </c>
      <c r="KC7">
        <v>25.5</v>
      </c>
      <c r="KD7">
        <v>41.3</v>
      </c>
      <c r="KE7">
        <v>37.6</v>
      </c>
      <c r="KF7">
        <v>26.9</v>
      </c>
      <c r="KG7">
        <v>26.1</v>
      </c>
      <c r="KH7">
        <v>38.6</v>
      </c>
      <c r="KI7">
        <v>32</v>
      </c>
      <c r="KJ7">
        <v>31.3</v>
      </c>
      <c r="KK7">
        <v>34.299999999999997</v>
      </c>
      <c r="KL7">
        <v>29.5</v>
      </c>
      <c r="KM7">
        <v>34.700000000000003</v>
      </c>
      <c r="KN7">
        <v>30.1</v>
      </c>
      <c r="KO7">
        <v>35.5</v>
      </c>
      <c r="KP7">
        <v>24</v>
      </c>
      <c r="KQ7">
        <v>28.7</v>
      </c>
      <c r="KR7">
        <v>33.299999999999997</v>
      </c>
      <c r="KS7">
        <v>39.4</v>
      </c>
      <c r="KT7">
        <v>28.5</v>
      </c>
      <c r="KU7">
        <v>33.6</v>
      </c>
      <c r="KV7">
        <v>32</v>
      </c>
      <c r="KW7">
        <v>27.8</v>
      </c>
      <c r="KX7">
        <v>23.1</v>
      </c>
      <c r="KY7">
        <v>35.200000000000003</v>
      </c>
      <c r="KZ7">
        <v>40</v>
      </c>
      <c r="LA7">
        <v>19.5</v>
      </c>
      <c r="LB7">
        <v>41.5</v>
      </c>
      <c r="LC7">
        <v>24</v>
      </c>
      <c r="LD7">
        <v>30.9</v>
      </c>
      <c r="LE7">
        <v>32.9</v>
      </c>
      <c r="LF7">
        <v>38.200000000000003</v>
      </c>
      <c r="LG7">
        <v>36.1</v>
      </c>
      <c r="LH7">
        <v>20.100000000000001</v>
      </c>
      <c r="LI7">
        <v>38.4</v>
      </c>
      <c r="LJ7">
        <v>43.5</v>
      </c>
      <c r="LK7">
        <v>37.700000000000003</v>
      </c>
      <c r="LL7">
        <v>34.5</v>
      </c>
      <c r="LM7">
        <v>27.5</v>
      </c>
      <c r="LN7">
        <v>31.6</v>
      </c>
      <c r="LO7">
        <v>40.9</v>
      </c>
      <c r="LP7">
        <v>19.5</v>
      </c>
      <c r="LQ7">
        <v>29.3</v>
      </c>
      <c r="LR7">
        <v>27.6</v>
      </c>
      <c r="LS7">
        <v>39.4</v>
      </c>
      <c r="LT7">
        <v>23.4</v>
      </c>
      <c r="LU7">
        <v>37.799999999999997</v>
      </c>
      <c r="LV7">
        <v>28.3</v>
      </c>
      <c r="LW7">
        <v>25.2</v>
      </c>
      <c r="LX7">
        <v>33.799999999999997</v>
      </c>
      <c r="LY7">
        <v>34.1</v>
      </c>
      <c r="LZ7">
        <v>34.200000000000003</v>
      </c>
      <c r="MA7">
        <v>38.700000000000003</v>
      </c>
      <c r="MB7">
        <v>21.8</v>
      </c>
      <c r="MC7">
        <v>38.9</v>
      </c>
      <c r="MD7">
        <v>34.200000000000003</v>
      </c>
      <c r="ME7">
        <v>37.6</v>
      </c>
      <c r="MF7">
        <v>37.9</v>
      </c>
      <c r="MG7">
        <v>34.799999999999997</v>
      </c>
      <c r="MH7">
        <v>34</v>
      </c>
      <c r="MI7">
        <v>30.9</v>
      </c>
      <c r="MJ7">
        <v>33.6</v>
      </c>
      <c r="MK7">
        <v>35.5</v>
      </c>
      <c r="ML7">
        <v>57.3</v>
      </c>
      <c r="MM7">
        <v>24.2</v>
      </c>
      <c r="MN7">
        <v>24.2</v>
      </c>
      <c r="MO7">
        <v>44.6</v>
      </c>
      <c r="MP7">
        <v>33.200000000000003</v>
      </c>
      <c r="MQ7">
        <v>24.1</v>
      </c>
      <c r="MR7">
        <v>46.1</v>
      </c>
      <c r="MS7">
        <v>39.1</v>
      </c>
      <c r="MT7">
        <v>38.5</v>
      </c>
      <c r="MU7">
        <v>30.4</v>
      </c>
      <c r="MV7">
        <v>29.9</v>
      </c>
      <c r="MW7">
        <v>34.5</v>
      </c>
      <c r="MX7">
        <v>35.9</v>
      </c>
      <c r="MY7">
        <v>28.4</v>
      </c>
      <c r="MZ7">
        <v>34.4</v>
      </c>
      <c r="NA7">
        <v>38</v>
      </c>
      <c r="NB7">
        <v>31.2</v>
      </c>
      <c r="NC7">
        <v>29.6</v>
      </c>
      <c r="ND7">
        <v>26.4</v>
      </c>
      <c r="NE7">
        <v>33.9</v>
      </c>
      <c r="NF7">
        <v>33.799999999999997</v>
      </c>
      <c r="NG7">
        <v>35.5</v>
      </c>
      <c r="NH7">
        <v>38.1</v>
      </c>
      <c r="NI7">
        <v>29.3</v>
      </c>
      <c r="NJ7">
        <v>39.1</v>
      </c>
      <c r="NK7">
        <v>36.1</v>
      </c>
      <c r="NL7">
        <v>28.4</v>
      </c>
      <c r="NM7">
        <v>44.5</v>
      </c>
      <c r="NN7">
        <v>29</v>
      </c>
      <c r="NO7">
        <v>27.4</v>
      </c>
      <c r="NP7">
        <v>36.6</v>
      </c>
      <c r="NQ7">
        <v>42.3</v>
      </c>
      <c r="NR7">
        <v>30.8</v>
      </c>
      <c r="NS7">
        <v>28.5</v>
      </c>
      <c r="NT7">
        <v>40.6</v>
      </c>
      <c r="NU7">
        <v>30</v>
      </c>
      <c r="NV7">
        <v>46.3</v>
      </c>
      <c r="NW7">
        <v>36.4</v>
      </c>
      <c r="NX7">
        <v>39</v>
      </c>
      <c r="NY7">
        <v>43.3</v>
      </c>
      <c r="NZ7">
        <v>36.5</v>
      </c>
      <c r="OA7">
        <v>28.4</v>
      </c>
      <c r="OB7">
        <v>32.9</v>
      </c>
      <c r="OC7">
        <v>26.2</v>
      </c>
    </row>
    <row r="8" spans="1:393">
      <c r="A8" s="1" t="s">
        <v>6</v>
      </c>
      <c r="B8">
        <v>21</v>
      </c>
      <c r="C8">
        <v>33</v>
      </c>
      <c r="D8">
        <v>26</v>
      </c>
      <c r="E8">
        <v>53</v>
      </c>
      <c r="F8">
        <v>59</v>
      </c>
      <c r="G8">
        <v>51</v>
      </c>
      <c r="H8">
        <v>31</v>
      </c>
      <c r="I8">
        <v>33</v>
      </c>
      <c r="J8">
        <v>32</v>
      </c>
      <c r="K8">
        <v>27</v>
      </c>
      <c r="L8">
        <v>51</v>
      </c>
      <c r="M8">
        <v>41</v>
      </c>
      <c r="N8">
        <v>22</v>
      </c>
      <c r="O8">
        <v>57</v>
      </c>
      <c r="P8">
        <v>28</v>
      </c>
      <c r="Q8">
        <v>22</v>
      </c>
      <c r="R8">
        <v>33</v>
      </c>
      <c r="S8">
        <v>56</v>
      </c>
      <c r="T8">
        <v>26</v>
      </c>
      <c r="U8">
        <v>54</v>
      </c>
      <c r="V8">
        <v>22</v>
      </c>
      <c r="W8">
        <v>26</v>
      </c>
      <c r="X8">
        <v>30</v>
      </c>
      <c r="Y8">
        <v>58</v>
      </c>
      <c r="Z8">
        <v>42</v>
      </c>
      <c r="AA8">
        <v>41</v>
      </c>
      <c r="AB8">
        <v>31</v>
      </c>
      <c r="AC8">
        <v>22</v>
      </c>
      <c r="AD8">
        <v>24</v>
      </c>
      <c r="AE8">
        <v>25</v>
      </c>
      <c r="AF8">
        <v>27</v>
      </c>
      <c r="AG8">
        <v>28</v>
      </c>
      <c r="AH8">
        <v>26</v>
      </c>
      <c r="AI8">
        <v>23</v>
      </c>
      <c r="AJ8">
        <v>36</v>
      </c>
      <c r="AK8">
        <v>27</v>
      </c>
      <c r="AL8">
        <v>26</v>
      </c>
      <c r="AM8">
        <v>43</v>
      </c>
      <c r="AN8">
        <v>34</v>
      </c>
      <c r="AO8">
        <v>42</v>
      </c>
      <c r="AP8">
        <v>21</v>
      </c>
      <c r="AQ8">
        <v>40</v>
      </c>
      <c r="AR8">
        <v>22</v>
      </c>
      <c r="AS8">
        <v>23</v>
      </c>
      <c r="AT8">
        <v>31</v>
      </c>
      <c r="AU8">
        <v>24</v>
      </c>
      <c r="AV8">
        <v>21</v>
      </c>
      <c r="AW8">
        <v>37</v>
      </c>
      <c r="AX8">
        <v>25</v>
      </c>
      <c r="AY8">
        <v>24</v>
      </c>
      <c r="AZ8">
        <v>24</v>
      </c>
      <c r="BA8">
        <v>46</v>
      </c>
      <c r="BB8">
        <v>23</v>
      </c>
      <c r="BC8">
        <v>39</v>
      </c>
      <c r="BD8">
        <v>21</v>
      </c>
      <c r="BE8">
        <v>25</v>
      </c>
      <c r="BF8">
        <v>23</v>
      </c>
      <c r="BG8">
        <v>26</v>
      </c>
      <c r="BH8">
        <v>30</v>
      </c>
      <c r="BI8">
        <v>23</v>
      </c>
      <c r="BJ8">
        <v>40</v>
      </c>
      <c r="BK8">
        <v>33</v>
      </c>
      <c r="BL8">
        <v>30</v>
      </c>
      <c r="BM8">
        <v>26</v>
      </c>
      <c r="BN8">
        <v>31</v>
      </c>
      <c r="BO8">
        <v>21</v>
      </c>
      <c r="BP8">
        <v>22</v>
      </c>
      <c r="BQ8">
        <v>28</v>
      </c>
      <c r="BR8">
        <v>22</v>
      </c>
      <c r="BS8">
        <v>23</v>
      </c>
      <c r="BT8">
        <v>34</v>
      </c>
      <c r="BU8">
        <v>24</v>
      </c>
      <c r="BV8">
        <v>42</v>
      </c>
      <c r="BW8">
        <v>23</v>
      </c>
      <c r="BX8">
        <v>21</v>
      </c>
      <c r="BY8">
        <v>23</v>
      </c>
      <c r="BZ8">
        <v>22</v>
      </c>
      <c r="CA8">
        <v>47</v>
      </c>
      <c r="CB8">
        <v>45</v>
      </c>
      <c r="CC8">
        <v>27</v>
      </c>
      <c r="CD8">
        <v>41</v>
      </c>
      <c r="CE8">
        <v>29</v>
      </c>
      <c r="CF8">
        <v>29</v>
      </c>
      <c r="CG8">
        <v>23</v>
      </c>
      <c r="CH8">
        <v>33</v>
      </c>
      <c r="CI8">
        <v>36</v>
      </c>
      <c r="CJ8">
        <v>26</v>
      </c>
      <c r="CK8">
        <v>23</v>
      </c>
      <c r="CL8">
        <v>60</v>
      </c>
      <c r="CM8">
        <v>33</v>
      </c>
      <c r="CN8">
        <v>31</v>
      </c>
      <c r="CO8">
        <v>25</v>
      </c>
      <c r="CP8">
        <v>40</v>
      </c>
      <c r="CQ8">
        <v>29</v>
      </c>
      <c r="CR8">
        <v>23</v>
      </c>
      <c r="CS8">
        <v>26</v>
      </c>
      <c r="CT8">
        <v>29</v>
      </c>
      <c r="CU8">
        <v>27</v>
      </c>
      <c r="CV8">
        <v>55</v>
      </c>
      <c r="CW8">
        <v>57</v>
      </c>
      <c r="CX8">
        <v>21</v>
      </c>
      <c r="CY8">
        <v>24</v>
      </c>
      <c r="CZ8">
        <v>36</v>
      </c>
      <c r="DA8">
        <v>38</v>
      </c>
      <c r="DB8">
        <v>25</v>
      </c>
      <c r="DC8">
        <v>32</v>
      </c>
      <c r="DD8">
        <v>21</v>
      </c>
      <c r="DE8">
        <v>61</v>
      </c>
      <c r="DF8">
        <v>26</v>
      </c>
      <c r="DG8">
        <v>22</v>
      </c>
      <c r="DH8">
        <v>31</v>
      </c>
      <c r="DI8">
        <v>24</v>
      </c>
      <c r="DJ8">
        <v>46</v>
      </c>
      <c r="DK8">
        <v>22</v>
      </c>
      <c r="DL8">
        <v>23</v>
      </c>
      <c r="DM8">
        <v>51</v>
      </c>
      <c r="DN8">
        <v>22</v>
      </c>
      <c r="DO8">
        <v>33</v>
      </c>
      <c r="DP8">
        <v>29</v>
      </c>
      <c r="DQ8">
        <v>23</v>
      </c>
      <c r="DR8">
        <v>34</v>
      </c>
      <c r="DS8">
        <v>24</v>
      </c>
      <c r="DT8">
        <v>44</v>
      </c>
      <c r="DU8">
        <v>24</v>
      </c>
      <c r="DV8">
        <v>51</v>
      </c>
      <c r="DW8">
        <v>34</v>
      </c>
      <c r="DX8">
        <v>43</v>
      </c>
      <c r="DY8">
        <v>21</v>
      </c>
      <c r="DZ8">
        <v>21</v>
      </c>
      <c r="EA8">
        <v>25</v>
      </c>
      <c r="EB8">
        <v>23</v>
      </c>
      <c r="EC8">
        <v>22</v>
      </c>
      <c r="ED8">
        <v>39</v>
      </c>
      <c r="EE8">
        <v>37</v>
      </c>
      <c r="EF8">
        <v>51</v>
      </c>
      <c r="EG8">
        <v>34</v>
      </c>
      <c r="EH8">
        <v>29</v>
      </c>
      <c r="EI8">
        <v>26</v>
      </c>
      <c r="EJ8">
        <v>33</v>
      </c>
      <c r="EK8">
        <v>21</v>
      </c>
      <c r="EL8">
        <v>25</v>
      </c>
      <c r="EM8">
        <v>31</v>
      </c>
      <c r="EN8">
        <v>24</v>
      </c>
      <c r="EO8">
        <v>28</v>
      </c>
      <c r="EP8">
        <v>29</v>
      </c>
      <c r="EQ8">
        <v>24</v>
      </c>
      <c r="ER8">
        <v>46</v>
      </c>
      <c r="ES8">
        <v>25</v>
      </c>
      <c r="ET8">
        <v>35</v>
      </c>
      <c r="EU8">
        <v>29</v>
      </c>
      <c r="EV8">
        <v>47</v>
      </c>
      <c r="EW8">
        <v>21</v>
      </c>
      <c r="EX8">
        <v>25</v>
      </c>
      <c r="EY8">
        <v>30</v>
      </c>
      <c r="EZ8">
        <v>22</v>
      </c>
      <c r="FA8">
        <v>27</v>
      </c>
      <c r="FB8">
        <v>25</v>
      </c>
      <c r="FC8">
        <v>26</v>
      </c>
      <c r="FD8">
        <v>30</v>
      </c>
      <c r="FE8">
        <v>28</v>
      </c>
      <c r="FF8">
        <v>31</v>
      </c>
      <c r="FG8">
        <v>43</v>
      </c>
      <c r="FH8">
        <v>24</v>
      </c>
      <c r="FI8">
        <v>30</v>
      </c>
      <c r="FJ8">
        <v>23</v>
      </c>
      <c r="FK8">
        <v>37</v>
      </c>
      <c r="FL8">
        <v>25</v>
      </c>
      <c r="FM8">
        <v>22</v>
      </c>
      <c r="FN8">
        <v>26</v>
      </c>
      <c r="FO8">
        <v>33</v>
      </c>
      <c r="FP8">
        <v>22</v>
      </c>
      <c r="FQ8">
        <v>36</v>
      </c>
      <c r="FR8">
        <v>49</v>
      </c>
      <c r="FS8">
        <v>22</v>
      </c>
      <c r="FT8">
        <v>26</v>
      </c>
      <c r="FU8">
        <v>24</v>
      </c>
      <c r="FV8">
        <v>28</v>
      </c>
      <c r="FW8">
        <v>48</v>
      </c>
      <c r="FX8">
        <v>29</v>
      </c>
      <c r="FY8">
        <v>29</v>
      </c>
      <c r="FZ8">
        <v>30</v>
      </c>
      <c r="GA8">
        <v>30</v>
      </c>
      <c r="GB8">
        <v>22</v>
      </c>
      <c r="GC8">
        <v>45</v>
      </c>
      <c r="GD8">
        <v>25</v>
      </c>
      <c r="GE8">
        <v>21</v>
      </c>
      <c r="GF8">
        <v>25</v>
      </c>
      <c r="GG8">
        <v>28</v>
      </c>
      <c r="GH8">
        <v>58</v>
      </c>
      <c r="GI8">
        <v>22</v>
      </c>
      <c r="GJ8">
        <v>22</v>
      </c>
      <c r="GK8">
        <v>35</v>
      </c>
      <c r="GL8">
        <v>24</v>
      </c>
      <c r="GM8">
        <v>21</v>
      </c>
      <c r="GN8">
        <v>25</v>
      </c>
      <c r="GO8">
        <v>25</v>
      </c>
      <c r="GP8">
        <v>24</v>
      </c>
      <c r="GQ8">
        <v>58</v>
      </c>
      <c r="GR8">
        <v>28</v>
      </c>
      <c r="GS8">
        <v>42</v>
      </c>
      <c r="GT8">
        <v>21</v>
      </c>
      <c r="GU8">
        <v>37</v>
      </c>
      <c r="GV8">
        <v>25</v>
      </c>
      <c r="GW8">
        <v>39</v>
      </c>
      <c r="GX8">
        <v>35</v>
      </c>
      <c r="GY8">
        <v>26</v>
      </c>
      <c r="GZ8">
        <v>28</v>
      </c>
      <c r="HA8">
        <v>25</v>
      </c>
      <c r="HB8">
        <v>22</v>
      </c>
      <c r="HC8">
        <v>21</v>
      </c>
      <c r="HD8">
        <v>21</v>
      </c>
      <c r="HE8">
        <v>22</v>
      </c>
      <c r="HF8">
        <v>28</v>
      </c>
      <c r="HG8">
        <v>26</v>
      </c>
      <c r="HH8">
        <v>21</v>
      </c>
      <c r="HI8">
        <v>21</v>
      </c>
      <c r="HJ8">
        <v>36</v>
      </c>
      <c r="HK8">
        <v>31</v>
      </c>
      <c r="HL8">
        <v>38</v>
      </c>
      <c r="HM8">
        <v>26</v>
      </c>
      <c r="HN8">
        <v>43</v>
      </c>
      <c r="HO8">
        <v>38</v>
      </c>
      <c r="HP8">
        <v>22</v>
      </c>
      <c r="HQ8">
        <v>22</v>
      </c>
      <c r="HR8">
        <v>24</v>
      </c>
      <c r="HS8">
        <v>25</v>
      </c>
      <c r="HT8">
        <v>28</v>
      </c>
      <c r="HU8">
        <v>26</v>
      </c>
      <c r="HV8">
        <v>22</v>
      </c>
      <c r="HW8">
        <v>26</v>
      </c>
      <c r="HX8">
        <v>23</v>
      </c>
      <c r="HY8">
        <v>25</v>
      </c>
      <c r="HZ8">
        <v>24</v>
      </c>
      <c r="IA8">
        <v>24</v>
      </c>
      <c r="IB8">
        <v>51</v>
      </c>
      <c r="IC8">
        <v>81</v>
      </c>
      <c r="ID8">
        <v>48</v>
      </c>
      <c r="IE8">
        <v>39</v>
      </c>
      <c r="IF8">
        <v>21</v>
      </c>
      <c r="IG8">
        <v>22</v>
      </c>
      <c r="IH8">
        <v>25</v>
      </c>
      <c r="II8">
        <v>27</v>
      </c>
      <c r="IJ8">
        <v>29</v>
      </c>
      <c r="IK8">
        <v>31</v>
      </c>
      <c r="IL8">
        <v>39</v>
      </c>
      <c r="IM8">
        <v>35</v>
      </c>
      <c r="IN8">
        <v>28</v>
      </c>
      <c r="IO8">
        <v>23</v>
      </c>
      <c r="IP8">
        <v>24</v>
      </c>
      <c r="IQ8">
        <v>21</v>
      </c>
      <c r="IR8">
        <v>58</v>
      </c>
      <c r="IS8">
        <v>24</v>
      </c>
      <c r="IT8">
        <v>45</v>
      </c>
      <c r="IU8">
        <v>25</v>
      </c>
      <c r="IV8">
        <v>55</v>
      </c>
      <c r="IW8">
        <v>39</v>
      </c>
      <c r="IX8">
        <v>21</v>
      </c>
      <c r="IY8">
        <v>41</v>
      </c>
      <c r="IZ8">
        <v>35</v>
      </c>
      <c r="JA8">
        <v>21</v>
      </c>
      <c r="JB8">
        <v>21</v>
      </c>
      <c r="JC8">
        <v>21</v>
      </c>
      <c r="JD8">
        <v>24</v>
      </c>
      <c r="JE8">
        <v>28</v>
      </c>
      <c r="JF8">
        <v>53</v>
      </c>
      <c r="JG8">
        <v>60</v>
      </c>
      <c r="JH8">
        <v>25</v>
      </c>
      <c r="JI8">
        <v>26</v>
      </c>
      <c r="JJ8">
        <v>21</v>
      </c>
      <c r="JK8">
        <v>24</v>
      </c>
      <c r="JL8">
        <v>22</v>
      </c>
      <c r="JM8">
        <v>22</v>
      </c>
      <c r="JN8">
        <v>29</v>
      </c>
      <c r="JO8">
        <v>24</v>
      </c>
      <c r="JP8">
        <v>23</v>
      </c>
      <c r="JQ8">
        <v>32</v>
      </c>
      <c r="JR8">
        <v>43</v>
      </c>
      <c r="JS8">
        <v>27</v>
      </c>
      <c r="JT8">
        <v>25</v>
      </c>
      <c r="JU8">
        <v>29</v>
      </c>
      <c r="JV8">
        <v>37</v>
      </c>
      <c r="JW8">
        <v>53</v>
      </c>
      <c r="JX8">
        <v>28</v>
      </c>
      <c r="JY8">
        <v>50</v>
      </c>
      <c r="JZ8">
        <v>25</v>
      </c>
      <c r="KA8">
        <v>23</v>
      </c>
      <c r="KB8">
        <v>28</v>
      </c>
      <c r="KC8">
        <v>37</v>
      </c>
      <c r="KD8">
        <v>28</v>
      </c>
      <c r="KE8">
        <v>24</v>
      </c>
      <c r="KF8">
        <v>32</v>
      </c>
      <c r="KG8">
        <v>22</v>
      </c>
      <c r="KH8">
        <v>21</v>
      </c>
      <c r="KI8">
        <v>46</v>
      </c>
      <c r="KJ8">
        <v>37</v>
      </c>
      <c r="KK8">
        <v>33</v>
      </c>
      <c r="KL8">
        <v>22</v>
      </c>
      <c r="KM8">
        <v>22</v>
      </c>
      <c r="KN8">
        <v>23</v>
      </c>
      <c r="KO8">
        <v>25</v>
      </c>
      <c r="KP8">
        <v>35</v>
      </c>
      <c r="KQ8">
        <v>52</v>
      </c>
      <c r="KR8">
        <v>52</v>
      </c>
      <c r="KS8">
        <v>24</v>
      </c>
      <c r="KT8">
        <v>25</v>
      </c>
      <c r="KU8">
        <v>34</v>
      </c>
      <c r="KV8">
        <v>22</v>
      </c>
      <c r="KW8">
        <v>21</v>
      </c>
      <c r="KX8">
        <v>26</v>
      </c>
      <c r="KY8">
        <v>54</v>
      </c>
      <c r="KZ8">
        <v>22</v>
      </c>
      <c r="LA8">
        <v>25</v>
      </c>
      <c r="LB8">
        <v>27</v>
      </c>
      <c r="LC8">
        <v>23</v>
      </c>
      <c r="LD8">
        <v>24</v>
      </c>
      <c r="LE8">
        <v>36</v>
      </c>
      <c r="LF8">
        <v>40</v>
      </c>
      <c r="LG8">
        <v>50</v>
      </c>
      <c r="LH8">
        <v>23</v>
      </c>
      <c r="LI8">
        <v>28</v>
      </c>
      <c r="LJ8">
        <v>21</v>
      </c>
      <c r="LK8">
        <v>29</v>
      </c>
      <c r="LL8">
        <v>24</v>
      </c>
      <c r="LM8">
        <v>22</v>
      </c>
      <c r="LN8">
        <v>23</v>
      </c>
      <c r="LO8">
        <v>32</v>
      </c>
      <c r="LP8">
        <v>28</v>
      </c>
      <c r="LQ8">
        <v>27</v>
      </c>
      <c r="LR8">
        <v>27</v>
      </c>
      <c r="LS8">
        <v>30</v>
      </c>
      <c r="LT8">
        <v>33</v>
      </c>
      <c r="LU8">
        <v>22</v>
      </c>
      <c r="LV8">
        <v>42</v>
      </c>
      <c r="LW8">
        <v>23</v>
      </c>
      <c r="LX8">
        <v>27</v>
      </c>
      <c r="LY8">
        <v>28</v>
      </c>
      <c r="LZ8">
        <v>22</v>
      </c>
      <c r="MA8">
        <v>25</v>
      </c>
      <c r="MB8">
        <v>22</v>
      </c>
      <c r="MC8">
        <v>41</v>
      </c>
      <c r="MD8">
        <v>27</v>
      </c>
      <c r="ME8">
        <v>43</v>
      </c>
      <c r="MF8">
        <v>40</v>
      </c>
      <c r="MG8">
        <v>24</v>
      </c>
      <c r="MH8">
        <v>43</v>
      </c>
      <c r="MI8">
        <v>45</v>
      </c>
      <c r="MJ8">
        <v>49</v>
      </c>
      <c r="MK8">
        <v>47</v>
      </c>
      <c r="ML8">
        <v>22</v>
      </c>
      <c r="MM8">
        <v>23</v>
      </c>
      <c r="MN8">
        <v>22</v>
      </c>
      <c r="MO8">
        <v>22</v>
      </c>
      <c r="MP8">
        <v>25</v>
      </c>
      <c r="MQ8">
        <v>23</v>
      </c>
      <c r="MR8">
        <v>46</v>
      </c>
      <c r="MS8">
        <v>23</v>
      </c>
      <c r="MT8">
        <v>43</v>
      </c>
      <c r="MU8">
        <v>43</v>
      </c>
      <c r="MV8">
        <v>31</v>
      </c>
      <c r="MW8">
        <v>28</v>
      </c>
      <c r="MX8">
        <v>26</v>
      </c>
      <c r="MY8">
        <v>27</v>
      </c>
      <c r="MZ8">
        <v>22</v>
      </c>
      <c r="NA8">
        <v>23</v>
      </c>
      <c r="NB8">
        <v>24</v>
      </c>
      <c r="NC8">
        <v>40</v>
      </c>
      <c r="ND8">
        <v>21</v>
      </c>
      <c r="NE8">
        <v>34</v>
      </c>
      <c r="NF8">
        <v>31</v>
      </c>
      <c r="NG8">
        <v>24</v>
      </c>
      <c r="NH8">
        <v>21</v>
      </c>
      <c r="NI8">
        <v>42</v>
      </c>
      <c r="NJ8">
        <v>42</v>
      </c>
      <c r="NK8">
        <v>25</v>
      </c>
      <c r="NL8">
        <v>34</v>
      </c>
      <c r="NM8">
        <v>24</v>
      </c>
      <c r="NN8">
        <v>22</v>
      </c>
      <c r="NO8">
        <v>21</v>
      </c>
      <c r="NP8">
        <v>21</v>
      </c>
      <c r="NQ8">
        <v>48</v>
      </c>
      <c r="NR8">
        <v>26</v>
      </c>
      <c r="NS8">
        <v>22</v>
      </c>
      <c r="NT8">
        <v>39</v>
      </c>
      <c r="NU8">
        <v>46</v>
      </c>
      <c r="NV8">
        <v>32</v>
      </c>
      <c r="NW8">
        <v>36</v>
      </c>
      <c r="NX8">
        <v>28</v>
      </c>
      <c r="NY8">
        <v>26</v>
      </c>
      <c r="NZ8">
        <v>37</v>
      </c>
      <c r="OA8">
        <v>22</v>
      </c>
      <c r="OB8">
        <v>63</v>
      </c>
      <c r="OC8">
        <v>30</v>
      </c>
    </row>
    <row r="9" spans="1:393">
      <c r="A9" s="1" t="s">
        <v>31</v>
      </c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</row>
    <row r="10" spans="1:393">
      <c r="A10">
        <v>1</v>
      </c>
      <c r="B10">
        <v>1</v>
      </c>
      <c r="C10">
        <v>89</v>
      </c>
      <c r="D10">
        <v>66</v>
      </c>
      <c r="E10">
        <v>23</v>
      </c>
      <c r="F10">
        <v>94</v>
      </c>
      <c r="G10">
        <v>28.1</v>
      </c>
      <c r="H10">
        <v>21</v>
      </c>
      <c r="I10">
        <v>0</v>
      </c>
    </row>
    <row r="11" spans="1:393">
      <c r="A11">
        <v>1</v>
      </c>
      <c r="B11">
        <v>0</v>
      </c>
      <c r="C11">
        <v>137</v>
      </c>
      <c r="D11">
        <v>40</v>
      </c>
      <c r="E11">
        <v>35</v>
      </c>
      <c r="F11">
        <v>168</v>
      </c>
      <c r="G11">
        <v>43.1</v>
      </c>
      <c r="H11">
        <v>33</v>
      </c>
      <c r="I11">
        <v>1</v>
      </c>
    </row>
    <row r="12" spans="1:393">
      <c r="A12">
        <v>1</v>
      </c>
      <c r="B12">
        <v>3</v>
      </c>
      <c r="C12">
        <v>78</v>
      </c>
      <c r="D12">
        <v>50</v>
      </c>
      <c r="E12">
        <v>32</v>
      </c>
      <c r="F12">
        <v>88</v>
      </c>
      <c r="G12">
        <v>31</v>
      </c>
      <c r="H12">
        <v>26</v>
      </c>
      <c r="I12">
        <v>1</v>
      </c>
    </row>
    <row r="13" spans="1:393">
      <c r="A13">
        <v>1</v>
      </c>
      <c r="B13">
        <v>2</v>
      </c>
      <c r="C13">
        <v>197</v>
      </c>
      <c r="D13">
        <v>70</v>
      </c>
      <c r="E13">
        <v>45</v>
      </c>
      <c r="F13">
        <v>543</v>
      </c>
      <c r="G13">
        <v>30.5</v>
      </c>
      <c r="H13">
        <v>53</v>
      </c>
      <c r="I13">
        <v>1</v>
      </c>
    </row>
    <row r="14" spans="1:393">
      <c r="A14">
        <v>1</v>
      </c>
      <c r="B14">
        <v>1</v>
      </c>
      <c r="C14">
        <v>189</v>
      </c>
      <c r="D14">
        <v>60</v>
      </c>
      <c r="E14">
        <v>23</v>
      </c>
      <c r="F14">
        <v>846</v>
      </c>
      <c r="G14">
        <v>30.1</v>
      </c>
      <c r="H14">
        <v>59</v>
      </c>
      <c r="I14">
        <v>1</v>
      </c>
    </row>
    <row r="15" spans="1:393">
      <c r="A15">
        <v>1</v>
      </c>
      <c r="B15">
        <v>5</v>
      </c>
      <c r="C15">
        <v>166</v>
      </c>
      <c r="D15">
        <v>72</v>
      </c>
      <c r="E15">
        <v>19</v>
      </c>
      <c r="F15">
        <v>175</v>
      </c>
      <c r="G15">
        <v>25.8</v>
      </c>
      <c r="H15">
        <v>51</v>
      </c>
      <c r="I15">
        <v>1</v>
      </c>
    </row>
    <row r="16" spans="1:393">
      <c r="A16">
        <v>1</v>
      </c>
      <c r="B16">
        <v>0</v>
      </c>
      <c r="C16">
        <v>118</v>
      </c>
      <c r="D16">
        <v>84</v>
      </c>
      <c r="E16">
        <v>47</v>
      </c>
      <c r="F16">
        <v>230</v>
      </c>
      <c r="G16">
        <v>45.8</v>
      </c>
      <c r="H16">
        <v>31</v>
      </c>
      <c r="I16">
        <v>1</v>
      </c>
    </row>
    <row r="17" spans="1:19">
      <c r="A17">
        <v>1</v>
      </c>
      <c r="B17">
        <v>1</v>
      </c>
      <c r="C17">
        <v>103</v>
      </c>
      <c r="D17">
        <v>30</v>
      </c>
      <c r="E17">
        <v>38</v>
      </c>
      <c r="F17">
        <v>83</v>
      </c>
      <c r="G17">
        <v>43.3</v>
      </c>
      <c r="H17">
        <v>33</v>
      </c>
      <c r="I17">
        <v>0</v>
      </c>
    </row>
    <row r="18" spans="1:19" ht="16.2">
      <c r="A18">
        <v>1</v>
      </c>
      <c r="B18">
        <v>1</v>
      </c>
      <c r="C18">
        <v>115</v>
      </c>
      <c r="D18">
        <v>70</v>
      </c>
      <c r="E18">
        <v>30</v>
      </c>
      <c r="F18">
        <v>96</v>
      </c>
      <c r="G18">
        <v>34.6</v>
      </c>
      <c r="H18">
        <v>32</v>
      </c>
      <c r="I18">
        <v>1</v>
      </c>
      <c r="K18" s="5" t="s">
        <v>32</v>
      </c>
      <c r="L18" s="5"/>
      <c r="M18" s="5"/>
      <c r="N18" s="5"/>
      <c r="O18" s="5"/>
      <c r="P18" s="5"/>
      <c r="Q18" s="5"/>
      <c r="R18" s="6"/>
      <c r="S18" s="3" t="s">
        <v>33</v>
      </c>
    </row>
    <row r="19" spans="1:19">
      <c r="A19">
        <v>1</v>
      </c>
      <c r="B19">
        <v>3</v>
      </c>
      <c r="C19">
        <v>126</v>
      </c>
      <c r="D19">
        <v>88</v>
      </c>
      <c r="E19">
        <v>41</v>
      </c>
      <c r="F19">
        <v>235</v>
      </c>
      <c r="G19">
        <v>39.299999999999997</v>
      </c>
      <c r="H19">
        <v>27</v>
      </c>
      <c r="I19">
        <v>0</v>
      </c>
      <c r="K19" s="3">
        <f t="array" ref="K19:R26">MINVERSE(MMULT(B1:OC8,A10:H401))</f>
        <v>0.1371561959609762</v>
      </c>
      <c r="L19" s="3">
        <v>1.2244501858264857E-3</v>
      </c>
      <c r="M19" s="3">
        <v>-2.743764922668383E-4</v>
      </c>
      <c r="N19" s="3">
        <v>-8.0842723989253988E-4</v>
      </c>
      <c r="O19" s="3">
        <v>3.0393644479647861E-4</v>
      </c>
      <c r="P19" s="3">
        <v>4.2943238869819655E-5</v>
      </c>
      <c r="Q19" s="3">
        <v>-1.4219239391089278E-3</v>
      </c>
      <c r="R19" s="3">
        <v>-5.3098349449037091E-4</v>
      </c>
      <c r="S19" s="3">
        <f t="array" ref="S19:S26">MMULT(B1:OC8,I10:I401)</f>
        <v>130</v>
      </c>
    </row>
    <row r="20" spans="1:19">
      <c r="A20">
        <v>1</v>
      </c>
      <c r="B20">
        <v>11</v>
      </c>
      <c r="C20">
        <v>143</v>
      </c>
      <c r="D20">
        <v>94</v>
      </c>
      <c r="E20">
        <v>33</v>
      </c>
      <c r="F20">
        <v>146</v>
      </c>
      <c r="G20">
        <v>36.6</v>
      </c>
      <c r="H20">
        <v>51</v>
      </c>
      <c r="I20">
        <v>1</v>
      </c>
      <c r="K20" s="3">
        <v>1.224450185826467E-3</v>
      </c>
      <c r="L20" s="3">
        <v>4.7028084699514958E-4</v>
      </c>
      <c r="M20" s="3">
        <v>-2.023347123783039E-7</v>
      </c>
      <c r="N20" s="3">
        <v>-4.1588660085189962E-6</v>
      </c>
      <c r="O20" s="3">
        <v>-7.2403767733329717E-6</v>
      </c>
      <c r="P20" s="3">
        <v>7.6232431307726718E-7</v>
      </c>
      <c r="Q20" s="3">
        <v>2.2361599345782393E-5</v>
      </c>
      <c r="R20" s="3">
        <v>-1.0063142944734976E-4</v>
      </c>
      <c r="S20" s="3">
        <v>581</v>
      </c>
    </row>
    <row r="21" spans="1:19">
      <c r="A21">
        <v>1</v>
      </c>
      <c r="B21">
        <v>10</v>
      </c>
      <c r="C21">
        <v>125</v>
      </c>
      <c r="D21">
        <v>70</v>
      </c>
      <c r="E21">
        <v>26</v>
      </c>
      <c r="F21">
        <v>115</v>
      </c>
      <c r="G21">
        <v>31.1</v>
      </c>
      <c r="H21">
        <v>41</v>
      </c>
      <c r="I21">
        <v>1</v>
      </c>
      <c r="K21" s="3">
        <v>-2.7437649226683749E-4</v>
      </c>
      <c r="L21" s="3">
        <v>-2.023347123784034E-7</v>
      </c>
      <c r="M21" s="3">
        <v>4.469342590968989E-6</v>
      </c>
      <c r="N21" s="3">
        <v>-9.0369320798834975E-7</v>
      </c>
      <c r="O21" s="3">
        <v>-3.8493140466179754E-7</v>
      </c>
      <c r="P21" s="3">
        <v>-6.0005435514515381E-7</v>
      </c>
      <c r="Q21" s="3">
        <v>-6.7626910778630815E-7</v>
      </c>
      <c r="R21" s="3">
        <v>-2.6543473763209036E-6</v>
      </c>
      <c r="S21" s="3">
        <v>18875</v>
      </c>
    </row>
    <row r="22" spans="1:19">
      <c r="A22">
        <v>1</v>
      </c>
      <c r="B22">
        <v>1</v>
      </c>
      <c r="C22">
        <v>97</v>
      </c>
      <c r="D22">
        <v>66</v>
      </c>
      <c r="E22">
        <v>15</v>
      </c>
      <c r="F22">
        <v>140</v>
      </c>
      <c r="G22">
        <v>23.2</v>
      </c>
      <c r="H22">
        <v>22</v>
      </c>
      <c r="I22">
        <v>0</v>
      </c>
      <c r="K22" s="3">
        <v>-8.0842723989254682E-4</v>
      </c>
      <c r="L22" s="3">
        <v>-4.1588660085191978E-6</v>
      </c>
      <c r="M22" s="3">
        <v>-9.0369320798832911E-7</v>
      </c>
      <c r="N22" s="3">
        <v>1.9990959811293297E-5</v>
      </c>
      <c r="O22" s="3">
        <v>2.9178418265710933E-7</v>
      </c>
      <c r="P22" s="3">
        <v>1.7599871689212031E-7</v>
      </c>
      <c r="Q22" s="3">
        <v>-1.0442563150251093E-5</v>
      </c>
      <c r="R22" s="3">
        <v>-5.5117140143658796E-6</v>
      </c>
      <c r="S22" s="3">
        <v>9630</v>
      </c>
    </row>
    <row r="23" spans="1:19">
      <c r="A23">
        <v>1</v>
      </c>
      <c r="B23">
        <v>13</v>
      </c>
      <c r="C23">
        <v>145</v>
      </c>
      <c r="D23">
        <v>82</v>
      </c>
      <c r="E23">
        <v>19</v>
      </c>
      <c r="F23">
        <v>110</v>
      </c>
      <c r="G23">
        <v>22.2</v>
      </c>
      <c r="H23">
        <v>57</v>
      </c>
      <c r="I23">
        <v>0</v>
      </c>
      <c r="K23" s="3">
        <v>3.0393644479647844E-4</v>
      </c>
      <c r="L23" s="3">
        <v>-7.2403767733329412E-6</v>
      </c>
      <c r="M23" s="3">
        <v>-3.849314046617933E-7</v>
      </c>
      <c r="N23" s="3">
        <v>2.9178418265710896E-7</v>
      </c>
      <c r="O23" s="3">
        <v>4.2674014211461481E-5</v>
      </c>
      <c r="P23" s="3">
        <v>1.0787482288183982E-8</v>
      </c>
      <c r="Q23" s="3">
        <v>-4.1994523040819496E-5</v>
      </c>
      <c r="R23" s="3">
        <v>-3.545976438189983E-6</v>
      </c>
      <c r="S23" s="3">
        <v>4285</v>
      </c>
    </row>
    <row r="24" spans="1:19">
      <c r="A24">
        <v>1</v>
      </c>
      <c r="B24">
        <v>3</v>
      </c>
      <c r="C24">
        <v>158</v>
      </c>
      <c r="D24">
        <v>76</v>
      </c>
      <c r="E24">
        <v>36</v>
      </c>
      <c r="F24">
        <v>245</v>
      </c>
      <c r="G24">
        <v>31.6</v>
      </c>
      <c r="H24">
        <v>28</v>
      </c>
      <c r="I24">
        <v>1</v>
      </c>
      <c r="K24" s="3">
        <v>4.294323886981897E-5</v>
      </c>
      <c r="L24" s="3">
        <v>7.6232431307727036E-7</v>
      </c>
      <c r="M24" s="3">
        <v>-6.0005435514515265E-7</v>
      </c>
      <c r="N24" s="3">
        <v>1.7599871689212897E-7</v>
      </c>
      <c r="O24" s="3">
        <v>1.07874822881834E-8</v>
      </c>
      <c r="P24" s="3">
        <v>2.8135021907489726E-7</v>
      </c>
      <c r="Q24" s="3">
        <v>-5.9295078142781543E-7</v>
      </c>
      <c r="R24" s="3">
        <v>-2.8885537201779373E-7</v>
      </c>
      <c r="S24" s="3">
        <v>26890</v>
      </c>
    </row>
    <row r="25" spans="1:19">
      <c r="A25">
        <v>1</v>
      </c>
      <c r="B25">
        <v>3</v>
      </c>
      <c r="C25">
        <v>88</v>
      </c>
      <c r="D25">
        <v>58</v>
      </c>
      <c r="E25">
        <v>11</v>
      </c>
      <c r="F25">
        <v>54</v>
      </c>
      <c r="G25">
        <v>24.8</v>
      </c>
      <c r="H25">
        <v>22</v>
      </c>
      <c r="I25">
        <v>0</v>
      </c>
      <c r="K25" s="3">
        <v>-1.4219239391089242E-3</v>
      </c>
      <c r="L25" s="3">
        <v>2.2361599345782458E-5</v>
      </c>
      <c r="M25" s="3">
        <v>-6.7626910778629968E-7</v>
      </c>
      <c r="N25" s="3">
        <v>-1.0442563150251152E-5</v>
      </c>
      <c r="O25" s="3">
        <v>-4.1994523040819516E-5</v>
      </c>
      <c r="P25" s="3">
        <v>-5.9295078142781914E-7</v>
      </c>
      <c r="Q25" s="3">
        <v>1.0197136772194709E-4</v>
      </c>
      <c r="R25" s="3">
        <v>3.614999720209915E-6</v>
      </c>
      <c r="S25" s="3">
        <v>4651.0999999999995</v>
      </c>
    </row>
    <row r="26" spans="1:19">
      <c r="A26">
        <v>1</v>
      </c>
      <c r="B26">
        <v>4</v>
      </c>
      <c r="C26">
        <v>103</v>
      </c>
      <c r="D26">
        <v>60</v>
      </c>
      <c r="E26">
        <v>33</v>
      </c>
      <c r="F26">
        <v>192</v>
      </c>
      <c r="G26">
        <v>24</v>
      </c>
      <c r="H26">
        <v>33</v>
      </c>
      <c r="I26">
        <v>0</v>
      </c>
      <c r="K26" s="3">
        <v>-5.3098349449035964E-4</v>
      </c>
      <c r="L26" s="3">
        <v>-1.0063142944734965E-4</v>
      </c>
      <c r="M26" s="3">
        <v>-2.6543473763209468E-6</v>
      </c>
      <c r="N26" s="3">
        <v>-5.511714014365999E-6</v>
      </c>
      <c r="O26" s="3">
        <v>-3.5459764381899521E-6</v>
      </c>
      <c r="P26" s="3">
        <v>-2.8885537201778812E-7</v>
      </c>
      <c r="Q26" s="3">
        <v>3.6149997202099231E-6</v>
      </c>
      <c r="R26" s="3">
        <v>5.2064546829137549E-5</v>
      </c>
      <c r="S26" s="3">
        <v>4672</v>
      </c>
    </row>
    <row r="27" spans="1:19" ht="15" thickBot="1">
      <c r="A27">
        <v>1</v>
      </c>
      <c r="B27">
        <v>4</v>
      </c>
      <c r="C27">
        <v>111</v>
      </c>
      <c r="D27">
        <v>72</v>
      </c>
      <c r="E27">
        <v>47</v>
      </c>
      <c r="F27">
        <v>207</v>
      </c>
      <c r="G27">
        <v>37.1</v>
      </c>
      <c r="H27">
        <v>56</v>
      </c>
      <c r="I27">
        <v>1</v>
      </c>
    </row>
    <row r="28" spans="1:19">
      <c r="A28">
        <v>1</v>
      </c>
      <c r="B28">
        <v>3</v>
      </c>
      <c r="C28">
        <v>180</v>
      </c>
      <c r="D28">
        <v>64</v>
      </c>
      <c r="E28">
        <v>25</v>
      </c>
      <c r="F28">
        <v>70</v>
      </c>
      <c r="G28">
        <v>34</v>
      </c>
      <c r="H28">
        <v>26</v>
      </c>
      <c r="I28">
        <v>0</v>
      </c>
      <c r="K28" s="7" t="s">
        <v>8</v>
      </c>
      <c r="L28" s="8">
        <f t="array" ref="L28:L35">MMULT(K19:R26,S19:S26)</f>
        <v>-1.0594535390958209</v>
      </c>
    </row>
    <row r="29" spans="1:19">
      <c r="A29">
        <v>1</v>
      </c>
      <c r="B29">
        <v>9</v>
      </c>
      <c r="C29">
        <v>171</v>
      </c>
      <c r="D29">
        <v>110</v>
      </c>
      <c r="E29">
        <v>24</v>
      </c>
      <c r="F29">
        <v>240</v>
      </c>
      <c r="G29">
        <v>45.4</v>
      </c>
      <c r="H29">
        <v>54</v>
      </c>
      <c r="I29">
        <v>1</v>
      </c>
      <c r="K29" s="9" t="s">
        <v>9</v>
      </c>
      <c r="L29" s="10">
        <v>1.1872631547510559E-2</v>
      </c>
    </row>
    <row r="30" spans="1:19">
      <c r="A30">
        <v>1</v>
      </c>
      <c r="B30">
        <v>1</v>
      </c>
      <c r="C30">
        <v>103</v>
      </c>
      <c r="D30">
        <v>80</v>
      </c>
      <c r="E30">
        <v>11</v>
      </c>
      <c r="F30">
        <v>82</v>
      </c>
      <c r="G30">
        <v>19.399999999999999</v>
      </c>
      <c r="H30">
        <v>22</v>
      </c>
      <c r="I30">
        <v>0</v>
      </c>
      <c r="K30" s="9" t="s">
        <v>10</v>
      </c>
      <c r="L30" s="10">
        <v>6.5383764808059873E-3</v>
      </c>
    </row>
    <row r="31" spans="1:19">
      <c r="A31">
        <v>1</v>
      </c>
      <c r="B31">
        <v>1</v>
      </c>
      <c r="C31">
        <v>101</v>
      </c>
      <c r="D31">
        <v>50</v>
      </c>
      <c r="E31">
        <v>15</v>
      </c>
      <c r="F31">
        <v>36</v>
      </c>
      <c r="G31">
        <v>24.2</v>
      </c>
      <c r="H31">
        <v>26</v>
      </c>
      <c r="I31">
        <v>0</v>
      </c>
      <c r="K31" s="9" t="s">
        <v>11</v>
      </c>
      <c r="L31" s="10">
        <v>-3.9334127834139698E-4</v>
      </c>
    </row>
    <row r="32" spans="1:19">
      <c r="A32">
        <v>1</v>
      </c>
      <c r="B32">
        <v>5</v>
      </c>
      <c r="C32">
        <v>88</v>
      </c>
      <c r="D32">
        <v>66</v>
      </c>
      <c r="E32">
        <v>21</v>
      </c>
      <c r="F32">
        <v>23</v>
      </c>
      <c r="G32">
        <v>24.4</v>
      </c>
      <c r="H32">
        <v>30</v>
      </c>
      <c r="I32">
        <v>0</v>
      </c>
      <c r="K32" s="9" t="s">
        <v>12</v>
      </c>
      <c r="L32" s="10">
        <v>2.1100785946949543E-3</v>
      </c>
    </row>
    <row r="33" spans="1:12">
      <c r="A33">
        <v>1</v>
      </c>
      <c r="B33">
        <v>8</v>
      </c>
      <c r="C33">
        <v>176</v>
      </c>
      <c r="D33">
        <v>90</v>
      </c>
      <c r="E33">
        <v>34</v>
      </c>
      <c r="F33">
        <v>300</v>
      </c>
      <c r="G33">
        <v>33.700000000000003</v>
      </c>
      <c r="H33">
        <v>58</v>
      </c>
      <c r="I33">
        <v>1</v>
      </c>
      <c r="K33" s="9" t="s">
        <v>13</v>
      </c>
      <c r="L33" s="10">
        <v>-1.0130075575638621E-4</v>
      </c>
    </row>
    <row r="34" spans="1:12">
      <c r="A34">
        <v>1</v>
      </c>
      <c r="B34">
        <v>7</v>
      </c>
      <c r="C34">
        <v>150</v>
      </c>
      <c r="D34">
        <v>66</v>
      </c>
      <c r="E34">
        <v>42</v>
      </c>
      <c r="F34">
        <v>342</v>
      </c>
      <c r="G34">
        <v>34.700000000000003</v>
      </c>
      <c r="H34">
        <v>42</v>
      </c>
      <c r="I34">
        <v>0</v>
      </c>
      <c r="K34" s="9" t="s">
        <v>14</v>
      </c>
      <c r="L34" s="10">
        <v>1.0092843951217591E-2</v>
      </c>
    </row>
    <row r="35" spans="1:12" ht="15" thickBot="1">
      <c r="A35">
        <v>1</v>
      </c>
      <c r="B35">
        <v>7</v>
      </c>
      <c r="C35">
        <v>187</v>
      </c>
      <c r="D35">
        <v>68</v>
      </c>
      <c r="E35">
        <v>39</v>
      </c>
      <c r="F35">
        <v>304</v>
      </c>
      <c r="G35">
        <v>37.700000000000003</v>
      </c>
      <c r="H35">
        <v>41</v>
      </c>
      <c r="I35">
        <v>1</v>
      </c>
      <c r="K35" s="11" t="s">
        <v>16</v>
      </c>
      <c r="L35" s="12">
        <v>6.4241305141373717E-3</v>
      </c>
    </row>
    <row r="36" spans="1:12">
      <c r="A36">
        <v>1</v>
      </c>
      <c r="B36">
        <v>0</v>
      </c>
      <c r="C36">
        <v>100</v>
      </c>
      <c r="D36">
        <v>88</v>
      </c>
      <c r="E36">
        <v>60</v>
      </c>
      <c r="F36">
        <v>110</v>
      </c>
      <c r="G36">
        <v>46.8</v>
      </c>
      <c r="H36">
        <v>31</v>
      </c>
      <c r="I36">
        <v>0</v>
      </c>
    </row>
    <row r="37" spans="1:12">
      <c r="A37">
        <v>1</v>
      </c>
      <c r="B37">
        <v>0</v>
      </c>
      <c r="C37">
        <v>105</v>
      </c>
      <c r="D37">
        <v>64</v>
      </c>
      <c r="E37">
        <v>41</v>
      </c>
      <c r="F37">
        <v>142</v>
      </c>
      <c r="G37">
        <v>41.5</v>
      </c>
      <c r="H37">
        <v>22</v>
      </c>
      <c r="I37">
        <v>0</v>
      </c>
    </row>
    <row r="38" spans="1:12">
      <c r="A38">
        <v>1</v>
      </c>
      <c r="B38">
        <v>2</v>
      </c>
      <c r="C38">
        <v>141</v>
      </c>
      <c r="D38">
        <v>58</v>
      </c>
      <c r="E38">
        <v>34</v>
      </c>
      <c r="F38">
        <v>128</v>
      </c>
      <c r="G38">
        <v>25.4</v>
      </c>
      <c r="H38">
        <v>24</v>
      </c>
      <c r="I38">
        <v>0</v>
      </c>
    </row>
    <row r="39" spans="1:12">
      <c r="A39">
        <v>1</v>
      </c>
      <c r="B39">
        <v>1</v>
      </c>
      <c r="C39">
        <v>95</v>
      </c>
      <c r="D39">
        <v>66</v>
      </c>
      <c r="E39">
        <v>13</v>
      </c>
      <c r="F39">
        <v>38</v>
      </c>
      <c r="G39">
        <v>19.600000000000001</v>
      </c>
      <c r="H39">
        <v>25</v>
      </c>
      <c r="I39">
        <v>0</v>
      </c>
    </row>
    <row r="40" spans="1:12">
      <c r="A40">
        <v>1</v>
      </c>
      <c r="B40">
        <v>4</v>
      </c>
      <c r="C40">
        <v>146</v>
      </c>
      <c r="D40">
        <v>85</v>
      </c>
      <c r="E40">
        <v>27</v>
      </c>
      <c r="F40">
        <v>100</v>
      </c>
      <c r="G40">
        <v>28.9</v>
      </c>
      <c r="H40">
        <v>27</v>
      </c>
      <c r="I40">
        <v>0</v>
      </c>
    </row>
    <row r="41" spans="1:12">
      <c r="A41">
        <v>1</v>
      </c>
      <c r="B41">
        <v>2</v>
      </c>
      <c r="C41">
        <v>100</v>
      </c>
      <c r="D41">
        <v>66</v>
      </c>
      <c r="E41">
        <v>20</v>
      </c>
      <c r="F41">
        <v>90</v>
      </c>
      <c r="G41">
        <v>32.9</v>
      </c>
      <c r="H41">
        <v>28</v>
      </c>
      <c r="I41">
        <v>1</v>
      </c>
    </row>
    <row r="42" spans="1:12">
      <c r="A42">
        <v>1</v>
      </c>
      <c r="B42">
        <v>5</v>
      </c>
      <c r="C42">
        <v>139</v>
      </c>
      <c r="D42">
        <v>64</v>
      </c>
      <c r="E42">
        <v>35</v>
      </c>
      <c r="F42">
        <v>140</v>
      </c>
      <c r="G42">
        <v>28.6</v>
      </c>
      <c r="H42">
        <v>26</v>
      </c>
      <c r="I42">
        <v>0</v>
      </c>
    </row>
    <row r="43" spans="1:12">
      <c r="A43">
        <v>1</v>
      </c>
      <c r="B43">
        <v>4</v>
      </c>
      <c r="C43">
        <v>129</v>
      </c>
      <c r="D43">
        <v>86</v>
      </c>
      <c r="E43">
        <v>20</v>
      </c>
      <c r="F43">
        <v>270</v>
      </c>
      <c r="G43">
        <v>35.1</v>
      </c>
      <c r="H43">
        <v>23</v>
      </c>
      <c r="I43">
        <v>0</v>
      </c>
    </row>
    <row r="44" spans="1:12">
      <c r="A44">
        <v>1</v>
      </c>
      <c r="B44">
        <v>7</v>
      </c>
      <c r="C44">
        <v>83</v>
      </c>
      <c r="D44">
        <v>78</v>
      </c>
      <c r="E44">
        <v>26</v>
      </c>
      <c r="F44">
        <v>71</v>
      </c>
      <c r="G44">
        <v>29.3</v>
      </c>
      <c r="H44">
        <v>36</v>
      </c>
      <c r="I44">
        <v>0</v>
      </c>
    </row>
    <row r="45" spans="1:12">
      <c r="A45">
        <v>1</v>
      </c>
      <c r="B45">
        <v>2</v>
      </c>
      <c r="C45">
        <v>110</v>
      </c>
      <c r="D45">
        <v>74</v>
      </c>
      <c r="E45">
        <v>29</v>
      </c>
      <c r="F45">
        <v>125</v>
      </c>
      <c r="G45">
        <v>32.4</v>
      </c>
      <c r="H45">
        <v>27</v>
      </c>
      <c r="I45">
        <v>0</v>
      </c>
    </row>
    <row r="46" spans="1:12">
      <c r="A46">
        <v>1</v>
      </c>
      <c r="B46">
        <v>2</v>
      </c>
      <c r="C46">
        <v>100</v>
      </c>
      <c r="D46">
        <v>68</v>
      </c>
      <c r="E46">
        <v>25</v>
      </c>
      <c r="F46">
        <v>71</v>
      </c>
      <c r="G46">
        <v>38.5</v>
      </c>
      <c r="H46">
        <v>26</v>
      </c>
      <c r="I46">
        <v>0</v>
      </c>
    </row>
    <row r="47" spans="1:12">
      <c r="A47">
        <v>1</v>
      </c>
      <c r="B47">
        <v>15</v>
      </c>
      <c r="C47">
        <v>136</v>
      </c>
      <c r="D47">
        <v>70</v>
      </c>
      <c r="E47">
        <v>32</v>
      </c>
      <c r="F47">
        <v>110</v>
      </c>
      <c r="G47">
        <v>37.1</v>
      </c>
      <c r="H47">
        <v>43</v>
      </c>
      <c r="I47">
        <v>1</v>
      </c>
    </row>
    <row r="48" spans="1:12">
      <c r="A48">
        <v>1</v>
      </c>
      <c r="B48">
        <v>4</v>
      </c>
      <c r="C48">
        <v>123</v>
      </c>
      <c r="D48">
        <v>80</v>
      </c>
      <c r="E48">
        <v>15</v>
      </c>
      <c r="F48">
        <v>176</v>
      </c>
      <c r="G48">
        <v>32</v>
      </c>
      <c r="H48">
        <v>34</v>
      </c>
      <c r="I48">
        <v>0</v>
      </c>
    </row>
    <row r="49" spans="1:9">
      <c r="A49">
        <v>1</v>
      </c>
      <c r="B49">
        <v>7</v>
      </c>
      <c r="C49">
        <v>81</v>
      </c>
      <c r="D49">
        <v>78</v>
      </c>
      <c r="E49">
        <v>40</v>
      </c>
      <c r="F49">
        <v>48</v>
      </c>
      <c r="G49">
        <v>46.7</v>
      </c>
      <c r="H49">
        <v>42</v>
      </c>
      <c r="I49">
        <v>0</v>
      </c>
    </row>
    <row r="50" spans="1:9">
      <c r="A50">
        <v>1</v>
      </c>
      <c r="B50">
        <v>2</v>
      </c>
      <c r="C50">
        <v>142</v>
      </c>
      <c r="D50">
        <v>82</v>
      </c>
      <c r="E50">
        <v>18</v>
      </c>
      <c r="F50">
        <v>64</v>
      </c>
      <c r="G50">
        <v>24.7</v>
      </c>
      <c r="H50">
        <v>21</v>
      </c>
      <c r="I50">
        <v>0</v>
      </c>
    </row>
    <row r="51" spans="1:9">
      <c r="A51">
        <v>1</v>
      </c>
      <c r="B51">
        <v>6</v>
      </c>
      <c r="C51">
        <v>144</v>
      </c>
      <c r="D51">
        <v>72</v>
      </c>
      <c r="E51">
        <v>27</v>
      </c>
      <c r="F51">
        <v>228</v>
      </c>
      <c r="G51">
        <v>33.9</v>
      </c>
      <c r="H51">
        <v>40</v>
      </c>
      <c r="I51">
        <v>0</v>
      </c>
    </row>
    <row r="52" spans="1:9">
      <c r="A52">
        <v>1</v>
      </c>
      <c r="B52">
        <v>1</v>
      </c>
      <c r="C52">
        <v>71</v>
      </c>
      <c r="D52">
        <v>48</v>
      </c>
      <c r="E52">
        <v>18</v>
      </c>
      <c r="F52">
        <v>76</v>
      </c>
      <c r="G52">
        <v>20.399999999999999</v>
      </c>
      <c r="H52">
        <v>22</v>
      </c>
      <c r="I52">
        <v>0</v>
      </c>
    </row>
    <row r="53" spans="1:9">
      <c r="A53">
        <v>1</v>
      </c>
      <c r="B53">
        <v>6</v>
      </c>
      <c r="C53">
        <v>93</v>
      </c>
      <c r="D53">
        <v>50</v>
      </c>
      <c r="E53">
        <v>30</v>
      </c>
      <c r="F53">
        <v>64</v>
      </c>
      <c r="G53">
        <v>28.7</v>
      </c>
      <c r="H53">
        <v>23</v>
      </c>
      <c r="I53">
        <v>0</v>
      </c>
    </row>
    <row r="54" spans="1:9">
      <c r="A54">
        <v>1</v>
      </c>
      <c r="B54">
        <v>1</v>
      </c>
      <c r="C54">
        <v>122</v>
      </c>
      <c r="D54">
        <v>90</v>
      </c>
      <c r="E54">
        <v>51</v>
      </c>
      <c r="F54">
        <v>220</v>
      </c>
      <c r="G54">
        <v>49.7</v>
      </c>
      <c r="H54">
        <v>31</v>
      </c>
      <c r="I54">
        <v>1</v>
      </c>
    </row>
    <row r="55" spans="1:9">
      <c r="A55">
        <v>1</v>
      </c>
      <c r="B55">
        <v>1</v>
      </c>
      <c r="C55">
        <v>81</v>
      </c>
      <c r="D55">
        <v>72</v>
      </c>
      <c r="E55">
        <v>18</v>
      </c>
      <c r="F55">
        <v>40</v>
      </c>
      <c r="G55">
        <v>26.6</v>
      </c>
      <c r="H55">
        <v>24</v>
      </c>
      <c r="I55">
        <v>0</v>
      </c>
    </row>
    <row r="56" spans="1:9">
      <c r="A56">
        <v>1</v>
      </c>
      <c r="B56">
        <v>1</v>
      </c>
      <c r="C56">
        <v>126</v>
      </c>
      <c r="D56">
        <v>56</v>
      </c>
      <c r="E56">
        <v>29</v>
      </c>
      <c r="F56">
        <v>152</v>
      </c>
      <c r="G56">
        <v>28.7</v>
      </c>
      <c r="H56">
        <v>21</v>
      </c>
      <c r="I56">
        <v>0</v>
      </c>
    </row>
    <row r="57" spans="1:9">
      <c r="A57">
        <v>1</v>
      </c>
      <c r="B57">
        <v>4</v>
      </c>
      <c r="C57">
        <v>144</v>
      </c>
      <c r="D57">
        <v>58</v>
      </c>
      <c r="E57">
        <v>28</v>
      </c>
      <c r="F57">
        <v>140</v>
      </c>
      <c r="G57">
        <v>29.5</v>
      </c>
      <c r="H57">
        <v>37</v>
      </c>
      <c r="I57">
        <v>0</v>
      </c>
    </row>
    <row r="58" spans="1:9">
      <c r="A58">
        <v>1</v>
      </c>
      <c r="B58">
        <v>3</v>
      </c>
      <c r="C58">
        <v>83</v>
      </c>
      <c r="D58">
        <v>58</v>
      </c>
      <c r="E58">
        <v>31</v>
      </c>
      <c r="F58">
        <v>18</v>
      </c>
      <c r="G58">
        <v>34.299999999999997</v>
      </c>
      <c r="H58">
        <v>25</v>
      </c>
      <c r="I58">
        <v>0</v>
      </c>
    </row>
    <row r="59" spans="1:9">
      <c r="A59">
        <v>1</v>
      </c>
      <c r="B59">
        <v>0</v>
      </c>
      <c r="C59">
        <v>95</v>
      </c>
      <c r="D59">
        <v>85</v>
      </c>
      <c r="E59">
        <v>25</v>
      </c>
      <c r="F59">
        <v>36</v>
      </c>
      <c r="G59">
        <v>37.4</v>
      </c>
      <c r="H59">
        <v>24</v>
      </c>
      <c r="I59">
        <v>1</v>
      </c>
    </row>
    <row r="60" spans="1:9">
      <c r="A60">
        <v>1</v>
      </c>
      <c r="B60">
        <v>3</v>
      </c>
      <c r="C60">
        <v>171</v>
      </c>
      <c r="D60">
        <v>72</v>
      </c>
      <c r="E60">
        <v>33</v>
      </c>
      <c r="F60">
        <v>135</v>
      </c>
      <c r="G60">
        <v>33.299999999999997</v>
      </c>
      <c r="H60">
        <v>24</v>
      </c>
      <c r="I60">
        <v>1</v>
      </c>
    </row>
    <row r="61" spans="1:9">
      <c r="A61">
        <v>1</v>
      </c>
      <c r="B61">
        <v>8</v>
      </c>
      <c r="C61">
        <v>155</v>
      </c>
      <c r="D61">
        <v>62</v>
      </c>
      <c r="E61">
        <v>26</v>
      </c>
      <c r="F61">
        <v>495</v>
      </c>
      <c r="G61">
        <v>34</v>
      </c>
      <c r="H61">
        <v>46</v>
      </c>
      <c r="I61">
        <v>1</v>
      </c>
    </row>
    <row r="62" spans="1:9">
      <c r="A62">
        <v>1</v>
      </c>
      <c r="B62">
        <v>1</v>
      </c>
      <c r="C62">
        <v>89</v>
      </c>
      <c r="D62">
        <v>76</v>
      </c>
      <c r="E62">
        <v>34</v>
      </c>
      <c r="F62">
        <v>37</v>
      </c>
      <c r="G62">
        <v>31.2</v>
      </c>
      <c r="H62">
        <v>23</v>
      </c>
      <c r="I62">
        <v>0</v>
      </c>
    </row>
    <row r="63" spans="1:9">
      <c r="A63">
        <v>1</v>
      </c>
      <c r="B63">
        <v>7</v>
      </c>
      <c r="C63">
        <v>160</v>
      </c>
      <c r="D63">
        <v>54</v>
      </c>
      <c r="E63">
        <v>32</v>
      </c>
      <c r="F63">
        <v>175</v>
      </c>
      <c r="G63">
        <v>30.5</v>
      </c>
      <c r="H63">
        <v>39</v>
      </c>
      <c r="I63">
        <v>1</v>
      </c>
    </row>
    <row r="64" spans="1:9">
      <c r="A64">
        <v>1</v>
      </c>
      <c r="B64">
        <v>4</v>
      </c>
      <c r="C64">
        <v>99</v>
      </c>
      <c r="D64">
        <v>76</v>
      </c>
      <c r="E64">
        <v>15</v>
      </c>
      <c r="F64">
        <v>51</v>
      </c>
      <c r="G64">
        <v>23.2</v>
      </c>
      <c r="H64">
        <v>21</v>
      </c>
      <c r="I64">
        <v>0</v>
      </c>
    </row>
    <row r="65" spans="1:9">
      <c r="A65">
        <v>1</v>
      </c>
      <c r="B65">
        <v>0</v>
      </c>
      <c r="C65">
        <v>162</v>
      </c>
      <c r="D65">
        <v>76</v>
      </c>
      <c r="E65">
        <v>56</v>
      </c>
      <c r="F65">
        <v>100</v>
      </c>
      <c r="G65">
        <v>53.2</v>
      </c>
      <c r="H65">
        <v>25</v>
      </c>
      <c r="I65">
        <v>1</v>
      </c>
    </row>
    <row r="66" spans="1:9">
      <c r="A66">
        <v>1</v>
      </c>
      <c r="B66">
        <v>2</v>
      </c>
      <c r="C66">
        <v>107</v>
      </c>
      <c r="D66">
        <v>74</v>
      </c>
      <c r="E66">
        <v>30</v>
      </c>
      <c r="F66">
        <v>100</v>
      </c>
      <c r="G66">
        <v>33.6</v>
      </c>
      <c r="H66">
        <v>23</v>
      </c>
      <c r="I66">
        <v>0</v>
      </c>
    </row>
    <row r="67" spans="1:9">
      <c r="A67">
        <v>1</v>
      </c>
      <c r="B67">
        <v>1</v>
      </c>
      <c r="C67">
        <v>88</v>
      </c>
      <c r="D67">
        <v>30</v>
      </c>
      <c r="E67">
        <v>42</v>
      </c>
      <c r="F67">
        <v>99</v>
      </c>
      <c r="G67">
        <v>55</v>
      </c>
      <c r="H67">
        <v>26</v>
      </c>
      <c r="I67">
        <v>1</v>
      </c>
    </row>
    <row r="68" spans="1:9">
      <c r="A68">
        <v>1</v>
      </c>
      <c r="B68">
        <v>3</v>
      </c>
      <c r="C68">
        <v>120</v>
      </c>
      <c r="D68">
        <v>70</v>
      </c>
      <c r="E68">
        <v>30</v>
      </c>
      <c r="F68">
        <v>135</v>
      </c>
      <c r="G68">
        <v>42.9</v>
      </c>
      <c r="H68">
        <v>30</v>
      </c>
      <c r="I68">
        <v>0</v>
      </c>
    </row>
    <row r="69" spans="1:9">
      <c r="A69">
        <v>1</v>
      </c>
      <c r="B69">
        <v>1</v>
      </c>
      <c r="C69">
        <v>118</v>
      </c>
      <c r="D69">
        <v>58</v>
      </c>
      <c r="E69">
        <v>36</v>
      </c>
      <c r="F69">
        <v>94</v>
      </c>
      <c r="G69">
        <v>33.299999999999997</v>
      </c>
      <c r="H69">
        <v>23</v>
      </c>
      <c r="I69">
        <v>0</v>
      </c>
    </row>
    <row r="70" spans="1:9">
      <c r="A70">
        <v>1</v>
      </c>
      <c r="B70">
        <v>1</v>
      </c>
      <c r="C70">
        <v>117</v>
      </c>
      <c r="D70">
        <v>88</v>
      </c>
      <c r="E70">
        <v>24</v>
      </c>
      <c r="F70">
        <v>145</v>
      </c>
      <c r="G70">
        <v>34.5</v>
      </c>
      <c r="H70">
        <v>40</v>
      </c>
      <c r="I70">
        <v>1</v>
      </c>
    </row>
    <row r="71" spans="1:9">
      <c r="A71">
        <v>1</v>
      </c>
      <c r="B71">
        <v>4</v>
      </c>
      <c r="C71">
        <v>173</v>
      </c>
      <c r="D71">
        <v>70</v>
      </c>
      <c r="E71">
        <v>14</v>
      </c>
      <c r="F71">
        <v>168</v>
      </c>
      <c r="G71">
        <v>29.7</v>
      </c>
      <c r="H71">
        <v>33</v>
      </c>
      <c r="I71">
        <v>1</v>
      </c>
    </row>
    <row r="72" spans="1:9">
      <c r="A72">
        <v>1</v>
      </c>
      <c r="B72">
        <v>3</v>
      </c>
      <c r="C72">
        <v>170</v>
      </c>
      <c r="D72">
        <v>64</v>
      </c>
      <c r="E72">
        <v>37</v>
      </c>
      <c r="F72">
        <v>225</v>
      </c>
      <c r="G72">
        <v>34.5</v>
      </c>
      <c r="H72">
        <v>30</v>
      </c>
      <c r="I72">
        <v>1</v>
      </c>
    </row>
    <row r="73" spans="1:9">
      <c r="A73">
        <v>1</v>
      </c>
      <c r="B73">
        <v>2</v>
      </c>
      <c r="C73">
        <v>96</v>
      </c>
      <c r="D73">
        <v>68</v>
      </c>
      <c r="E73">
        <v>13</v>
      </c>
      <c r="F73">
        <v>49</v>
      </c>
      <c r="G73">
        <v>21.1</v>
      </c>
      <c r="H73">
        <v>26</v>
      </c>
      <c r="I73">
        <v>0</v>
      </c>
    </row>
    <row r="74" spans="1:9">
      <c r="A74">
        <v>1</v>
      </c>
      <c r="B74">
        <v>2</v>
      </c>
      <c r="C74">
        <v>125</v>
      </c>
      <c r="D74">
        <v>60</v>
      </c>
      <c r="E74">
        <v>20</v>
      </c>
      <c r="F74">
        <v>140</v>
      </c>
      <c r="G74">
        <v>33.799999999999997</v>
      </c>
      <c r="H74">
        <v>31</v>
      </c>
      <c r="I74">
        <v>0</v>
      </c>
    </row>
    <row r="75" spans="1:9">
      <c r="A75">
        <v>1</v>
      </c>
      <c r="B75">
        <v>0</v>
      </c>
      <c r="C75">
        <v>100</v>
      </c>
      <c r="D75">
        <v>70</v>
      </c>
      <c r="E75">
        <v>26</v>
      </c>
      <c r="F75">
        <v>50</v>
      </c>
      <c r="G75">
        <v>30.8</v>
      </c>
      <c r="H75">
        <v>21</v>
      </c>
      <c r="I75">
        <v>0</v>
      </c>
    </row>
    <row r="76" spans="1:9">
      <c r="A76">
        <v>1</v>
      </c>
      <c r="B76">
        <v>0</v>
      </c>
      <c r="C76">
        <v>93</v>
      </c>
      <c r="D76">
        <v>60</v>
      </c>
      <c r="E76">
        <v>25</v>
      </c>
      <c r="F76">
        <v>92</v>
      </c>
      <c r="G76">
        <v>28.7</v>
      </c>
      <c r="H76">
        <v>22</v>
      </c>
      <c r="I76">
        <v>0</v>
      </c>
    </row>
    <row r="77" spans="1:9">
      <c r="A77">
        <v>1</v>
      </c>
      <c r="B77">
        <v>5</v>
      </c>
      <c r="C77">
        <v>105</v>
      </c>
      <c r="D77">
        <v>72</v>
      </c>
      <c r="E77">
        <v>29</v>
      </c>
      <c r="F77">
        <v>325</v>
      </c>
      <c r="G77">
        <v>36.9</v>
      </c>
      <c r="H77">
        <v>28</v>
      </c>
      <c r="I77">
        <v>0</v>
      </c>
    </row>
    <row r="78" spans="1:9">
      <c r="A78">
        <v>1</v>
      </c>
      <c r="B78">
        <v>2</v>
      </c>
      <c r="C78">
        <v>108</v>
      </c>
      <c r="D78">
        <v>52</v>
      </c>
      <c r="E78">
        <v>26</v>
      </c>
      <c r="F78">
        <v>63</v>
      </c>
      <c r="G78">
        <v>32.5</v>
      </c>
      <c r="H78">
        <v>22</v>
      </c>
      <c r="I78">
        <v>0</v>
      </c>
    </row>
    <row r="79" spans="1:9">
      <c r="A79">
        <v>1</v>
      </c>
      <c r="B79">
        <v>4</v>
      </c>
      <c r="C79">
        <v>154</v>
      </c>
      <c r="D79">
        <v>62</v>
      </c>
      <c r="E79">
        <v>31</v>
      </c>
      <c r="F79">
        <v>284</v>
      </c>
      <c r="G79">
        <v>32.799999999999997</v>
      </c>
      <c r="H79">
        <v>23</v>
      </c>
      <c r="I79">
        <v>0</v>
      </c>
    </row>
    <row r="80" spans="1:9">
      <c r="A80">
        <v>1</v>
      </c>
      <c r="B80">
        <v>2</v>
      </c>
      <c r="C80">
        <v>106</v>
      </c>
      <c r="D80">
        <v>64</v>
      </c>
      <c r="E80">
        <v>35</v>
      </c>
      <c r="F80">
        <v>119</v>
      </c>
      <c r="G80">
        <v>30.5</v>
      </c>
      <c r="H80">
        <v>34</v>
      </c>
      <c r="I80">
        <v>0</v>
      </c>
    </row>
    <row r="81" spans="1:9">
      <c r="A81">
        <v>1</v>
      </c>
      <c r="B81">
        <v>1</v>
      </c>
      <c r="C81">
        <v>136</v>
      </c>
      <c r="D81">
        <v>74</v>
      </c>
      <c r="E81">
        <v>50</v>
      </c>
      <c r="F81">
        <v>204</v>
      </c>
      <c r="G81">
        <v>37.4</v>
      </c>
      <c r="H81">
        <v>24</v>
      </c>
      <c r="I81">
        <v>0</v>
      </c>
    </row>
    <row r="82" spans="1:9">
      <c r="A82">
        <v>1</v>
      </c>
      <c r="B82">
        <v>9</v>
      </c>
      <c r="C82">
        <v>156</v>
      </c>
      <c r="D82">
        <v>86</v>
      </c>
      <c r="E82">
        <v>28</v>
      </c>
      <c r="F82">
        <v>155</v>
      </c>
      <c r="G82">
        <v>34.299999999999997</v>
      </c>
      <c r="H82">
        <v>42</v>
      </c>
      <c r="I82">
        <v>1</v>
      </c>
    </row>
    <row r="83" spans="1:9">
      <c r="A83">
        <v>1</v>
      </c>
      <c r="B83">
        <v>1</v>
      </c>
      <c r="C83">
        <v>153</v>
      </c>
      <c r="D83">
        <v>82</v>
      </c>
      <c r="E83">
        <v>42</v>
      </c>
      <c r="F83">
        <v>485</v>
      </c>
      <c r="G83">
        <v>40.6</v>
      </c>
      <c r="H83">
        <v>23</v>
      </c>
      <c r="I83">
        <v>0</v>
      </c>
    </row>
    <row r="84" spans="1:9">
      <c r="A84">
        <v>1</v>
      </c>
      <c r="B84">
        <v>2</v>
      </c>
      <c r="C84">
        <v>99</v>
      </c>
      <c r="D84">
        <v>52</v>
      </c>
      <c r="E84">
        <v>15</v>
      </c>
      <c r="F84">
        <v>94</v>
      </c>
      <c r="G84">
        <v>24.6</v>
      </c>
      <c r="H84">
        <v>21</v>
      </c>
      <c r="I84">
        <v>0</v>
      </c>
    </row>
    <row r="85" spans="1:9">
      <c r="A85">
        <v>1</v>
      </c>
      <c r="B85">
        <v>1</v>
      </c>
      <c r="C85">
        <v>109</v>
      </c>
      <c r="D85">
        <v>56</v>
      </c>
      <c r="E85">
        <v>21</v>
      </c>
      <c r="F85">
        <v>135</v>
      </c>
      <c r="G85">
        <v>25.2</v>
      </c>
      <c r="H85">
        <v>23</v>
      </c>
      <c r="I85">
        <v>0</v>
      </c>
    </row>
    <row r="86" spans="1:9">
      <c r="A86">
        <v>1</v>
      </c>
      <c r="B86">
        <v>2</v>
      </c>
      <c r="C86">
        <v>88</v>
      </c>
      <c r="D86">
        <v>74</v>
      </c>
      <c r="E86">
        <v>19</v>
      </c>
      <c r="F86">
        <v>53</v>
      </c>
      <c r="G86">
        <v>29</v>
      </c>
      <c r="H86">
        <v>22</v>
      </c>
      <c r="I86">
        <v>0</v>
      </c>
    </row>
    <row r="87" spans="1:9">
      <c r="A87">
        <v>1</v>
      </c>
      <c r="B87">
        <v>17</v>
      </c>
      <c r="C87">
        <v>163</v>
      </c>
      <c r="D87">
        <v>72</v>
      </c>
      <c r="E87">
        <v>41</v>
      </c>
      <c r="F87">
        <v>114</v>
      </c>
      <c r="G87">
        <v>40.9</v>
      </c>
      <c r="H87">
        <v>47</v>
      </c>
      <c r="I87">
        <v>1</v>
      </c>
    </row>
    <row r="88" spans="1:9">
      <c r="A88">
        <v>1</v>
      </c>
      <c r="B88">
        <v>7</v>
      </c>
      <c r="C88">
        <v>102</v>
      </c>
      <c r="D88">
        <v>74</v>
      </c>
      <c r="E88">
        <v>40</v>
      </c>
      <c r="F88">
        <v>105</v>
      </c>
      <c r="G88">
        <v>37.200000000000003</v>
      </c>
      <c r="H88">
        <v>45</v>
      </c>
      <c r="I88">
        <v>0</v>
      </c>
    </row>
    <row r="89" spans="1:9">
      <c r="A89">
        <v>1</v>
      </c>
      <c r="B89">
        <v>0</v>
      </c>
      <c r="C89">
        <v>114</v>
      </c>
      <c r="D89">
        <v>80</v>
      </c>
      <c r="E89">
        <v>34</v>
      </c>
      <c r="F89">
        <v>285</v>
      </c>
      <c r="G89">
        <v>44.2</v>
      </c>
      <c r="H89">
        <v>27</v>
      </c>
      <c r="I89">
        <v>0</v>
      </c>
    </row>
    <row r="90" spans="1:9">
      <c r="A90">
        <v>1</v>
      </c>
      <c r="B90">
        <v>6</v>
      </c>
      <c r="C90">
        <v>104</v>
      </c>
      <c r="D90">
        <v>74</v>
      </c>
      <c r="E90">
        <v>18</v>
      </c>
      <c r="F90">
        <v>156</v>
      </c>
      <c r="G90">
        <v>29.9</v>
      </c>
      <c r="H90">
        <v>41</v>
      </c>
      <c r="I90">
        <v>1</v>
      </c>
    </row>
    <row r="91" spans="1:9">
      <c r="A91">
        <v>1</v>
      </c>
      <c r="B91">
        <v>3</v>
      </c>
      <c r="C91">
        <v>111</v>
      </c>
      <c r="D91">
        <v>90</v>
      </c>
      <c r="E91">
        <v>12</v>
      </c>
      <c r="F91">
        <v>78</v>
      </c>
      <c r="G91">
        <v>28.4</v>
      </c>
      <c r="H91">
        <v>29</v>
      </c>
      <c r="I91">
        <v>0</v>
      </c>
    </row>
    <row r="92" spans="1:9">
      <c r="A92">
        <v>1</v>
      </c>
      <c r="B92">
        <v>6</v>
      </c>
      <c r="C92">
        <v>134</v>
      </c>
      <c r="D92">
        <v>70</v>
      </c>
      <c r="E92">
        <v>23</v>
      </c>
      <c r="F92">
        <v>130</v>
      </c>
      <c r="G92">
        <v>35.4</v>
      </c>
      <c r="H92">
        <v>29</v>
      </c>
      <c r="I92">
        <v>1</v>
      </c>
    </row>
    <row r="93" spans="1:9">
      <c r="A93">
        <v>1</v>
      </c>
      <c r="B93">
        <v>1</v>
      </c>
      <c r="C93">
        <v>79</v>
      </c>
      <c r="D93">
        <v>60</v>
      </c>
      <c r="E93">
        <v>42</v>
      </c>
      <c r="F93">
        <v>48</v>
      </c>
      <c r="G93">
        <v>43.5</v>
      </c>
      <c r="H93">
        <v>23</v>
      </c>
      <c r="I93">
        <v>0</v>
      </c>
    </row>
    <row r="94" spans="1:9">
      <c r="A94">
        <v>1</v>
      </c>
      <c r="B94">
        <v>2</v>
      </c>
      <c r="C94">
        <v>75</v>
      </c>
      <c r="D94">
        <v>64</v>
      </c>
      <c r="E94">
        <v>24</v>
      </c>
      <c r="F94">
        <v>55</v>
      </c>
      <c r="G94">
        <v>29.7</v>
      </c>
      <c r="H94">
        <v>33</v>
      </c>
      <c r="I94">
        <v>0</v>
      </c>
    </row>
    <row r="95" spans="1:9">
      <c r="A95">
        <v>1</v>
      </c>
      <c r="B95">
        <v>8</v>
      </c>
      <c r="C95">
        <v>179</v>
      </c>
      <c r="D95">
        <v>72</v>
      </c>
      <c r="E95">
        <v>42</v>
      </c>
      <c r="F95">
        <v>130</v>
      </c>
      <c r="G95">
        <v>32.700000000000003</v>
      </c>
      <c r="H95">
        <v>36</v>
      </c>
      <c r="I95">
        <v>1</v>
      </c>
    </row>
    <row r="96" spans="1:9">
      <c r="A96">
        <v>1</v>
      </c>
      <c r="B96">
        <v>0</v>
      </c>
      <c r="C96">
        <v>129</v>
      </c>
      <c r="D96">
        <v>110</v>
      </c>
      <c r="E96">
        <v>46</v>
      </c>
      <c r="F96">
        <v>130</v>
      </c>
      <c r="G96">
        <v>67.099999999999994</v>
      </c>
      <c r="H96">
        <v>26</v>
      </c>
      <c r="I96">
        <v>1</v>
      </c>
    </row>
    <row r="97" spans="1:9">
      <c r="A97">
        <v>1</v>
      </c>
      <c r="B97">
        <v>0</v>
      </c>
      <c r="C97">
        <v>119</v>
      </c>
      <c r="D97">
        <v>64</v>
      </c>
      <c r="E97">
        <v>18</v>
      </c>
      <c r="F97">
        <v>92</v>
      </c>
      <c r="G97">
        <v>34.9</v>
      </c>
      <c r="H97">
        <v>23</v>
      </c>
      <c r="I97">
        <v>0</v>
      </c>
    </row>
    <row r="98" spans="1:9">
      <c r="A98">
        <v>1</v>
      </c>
      <c r="B98">
        <v>8</v>
      </c>
      <c r="C98">
        <v>181</v>
      </c>
      <c r="D98">
        <v>68</v>
      </c>
      <c r="E98">
        <v>36</v>
      </c>
      <c r="F98">
        <v>495</v>
      </c>
      <c r="G98">
        <v>30.1</v>
      </c>
      <c r="H98">
        <v>60</v>
      </c>
      <c r="I98">
        <v>1</v>
      </c>
    </row>
    <row r="99" spans="1:9">
      <c r="A99">
        <v>1</v>
      </c>
      <c r="B99">
        <v>1</v>
      </c>
      <c r="C99">
        <v>128</v>
      </c>
      <c r="D99">
        <v>98</v>
      </c>
      <c r="E99">
        <v>41</v>
      </c>
      <c r="F99">
        <v>58</v>
      </c>
      <c r="G99">
        <v>32</v>
      </c>
      <c r="H99">
        <v>33</v>
      </c>
      <c r="I99">
        <v>1</v>
      </c>
    </row>
    <row r="100" spans="1:9">
      <c r="A100">
        <v>1</v>
      </c>
      <c r="B100">
        <v>8</v>
      </c>
      <c r="C100">
        <v>109</v>
      </c>
      <c r="D100">
        <v>76</v>
      </c>
      <c r="E100">
        <v>39</v>
      </c>
      <c r="F100">
        <v>114</v>
      </c>
      <c r="G100">
        <v>27.9</v>
      </c>
      <c r="H100">
        <v>31</v>
      </c>
      <c r="I100">
        <v>1</v>
      </c>
    </row>
    <row r="101" spans="1:9">
      <c r="A101">
        <v>1</v>
      </c>
      <c r="B101">
        <v>5</v>
      </c>
      <c r="C101">
        <v>139</v>
      </c>
      <c r="D101">
        <v>80</v>
      </c>
      <c r="E101">
        <v>35</v>
      </c>
      <c r="F101">
        <v>160</v>
      </c>
      <c r="G101">
        <v>31.6</v>
      </c>
      <c r="H101">
        <v>25</v>
      </c>
      <c r="I101">
        <v>1</v>
      </c>
    </row>
    <row r="102" spans="1:9">
      <c r="A102">
        <v>1</v>
      </c>
      <c r="B102">
        <v>9</v>
      </c>
      <c r="C102">
        <v>123</v>
      </c>
      <c r="D102">
        <v>70</v>
      </c>
      <c r="E102">
        <v>44</v>
      </c>
      <c r="F102">
        <v>94</v>
      </c>
      <c r="G102">
        <v>33.1</v>
      </c>
      <c r="H102">
        <v>40</v>
      </c>
      <c r="I102">
        <v>0</v>
      </c>
    </row>
    <row r="103" spans="1:9">
      <c r="A103">
        <v>1</v>
      </c>
      <c r="B103">
        <v>5</v>
      </c>
      <c r="C103">
        <v>158</v>
      </c>
      <c r="D103">
        <v>84</v>
      </c>
      <c r="E103">
        <v>41</v>
      </c>
      <c r="F103">
        <v>210</v>
      </c>
      <c r="G103">
        <v>39.4</v>
      </c>
      <c r="H103">
        <v>29</v>
      </c>
      <c r="I103">
        <v>1</v>
      </c>
    </row>
    <row r="104" spans="1:9">
      <c r="A104">
        <v>1</v>
      </c>
      <c r="B104">
        <v>3</v>
      </c>
      <c r="C104">
        <v>107</v>
      </c>
      <c r="D104">
        <v>62</v>
      </c>
      <c r="E104">
        <v>13</v>
      </c>
      <c r="F104">
        <v>48</v>
      </c>
      <c r="G104">
        <v>22.9</v>
      </c>
      <c r="H104">
        <v>23</v>
      </c>
      <c r="I104">
        <v>1</v>
      </c>
    </row>
    <row r="105" spans="1:9">
      <c r="A105">
        <v>1</v>
      </c>
      <c r="B105">
        <v>4</v>
      </c>
      <c r="C105">
        <v>109</v>
      </c>
      <c r="D105">
        <v>64</v>
      </c>
      <c r="E105">
        <v>44</v>
      </c>
      <c r="F105">
        <v>99</v>
      </c>
      <c r="G105">
        <v>34.799999999999997</v>
      </c>
      <c r="H105">
        <v>26</v>
      </c>
      <c r="I105">
        <v>1</v>
      </c>
    </row>
    <row r="106" spans="1:9">
      <c r="A106">
        <v>1</v>
      </c>
      <c r="B106">
        <v>4</v>
      </c>
      <c r="C106">
        <v>148</v>
      </c>
      <c r="D106">
        <v>60</v>
      </c>
      <c r="E106">
        <v>27</v>
      </c>
      <c r="F106">
        <v>318</v>
      </c>
      <c r="G106">
        <v>30.9</v>
      </c>
      <c r="H106">
        <v>29</v>
      </c>
      <c r="I106">
        <v>1</v>
      </c>
    </row>
    <row r="107" spans="1:9">
      <c r="A107">
        <v>1</v>
      </c>
      <c r="B107">
        <v>2</v>
      </c>
      <c r="C107">
        <v>99</v>
      </c>
      <c r="D107">
        <v>70</v>
      </c>
      <c r="E107">
        <v>16</v>
      </c>
      <c r="F107">
        <v>44</v>
      </c>
      <c r="G107">
        <v>20.399999999999999</v>
      </c>
      <c r="H107">
        <v>27</v>
      </c>
      <c r="I107">
        <v>0</v>
      </c>
    </row>
    <row r="108" spans="1:9">
      <c r="A108">
        <v>1</v>
      </c>
      <c r="B108">
        <v>6</v>
      </c>
      <c r="C108">
        <v>103</v>
      </c>
      <c r="D108">
        <v>72</v>
      </c>
      <c r="E108">
        <v>32</v>
      </c>
      <c r="F108">
        <v>190</v>
      </c>
      <c r="G108">
        <v>37.700000000000003</v>
      </c>
      <c r="H108">
        <v>55</v>
      </c>
      <c r="I108">
        <v>0</v>
      </c>
    </row>
    <row r="109" spans="1:9">
      <c r="A109">
        <v>1</v>
      </c>
      <c r="B109">
        <v>8</v>
      </c>
      <c r="C109">
        <v>196</v>
      </c>
      <c r="D109">
        <v>76</v>
      </c>
      <c r="E109">
        <v>29</v>
      </c>
      <c r="F109">
        <v>280</v>
      </c>
      <c r="G109">
        <v>37.5</v>
      </c>
      <c r="H109">
        <v>57</v>
      </c>
      <c r="I109">
        <v>1</v>
      </c>
    </row>
    <row r="110" spans="1:9">
      <c r="A110">
        <v>1</v>
      </c>
      <c r="B110">
        <v>1</v>
      </c>
      <c r="C110">
        <v>96</v>
      </c>
      <c r="D110">
        <v>64</v>
      </c>
      <c r="E110">
        <v>27</v>
      </c>
      <c r="F110">
        <v>87</v>
      </c>
      <c r="G110">
        <v>33.200000000000003</v>
      </c>
      <c r="H110">
        <v>21</v>
      </c>
      <c r="I110">
        <v>0</v>
      </c>
    </row>
    <row r="111" spans="1:9">
      <c r="A111">
        <v>1</v>
      </c>
      <c r="B111">
        <v>0</v>
      </c>
      <c r="C111">
        <v>140</v>
      </c>
      <c r="D111">
        <v>65</v>
      </c>
      <c r="E111">
        <v>26</v>
      </c>
      <c r="F111">
        <v>130</v>
      </c>
      <c r="G111">
        <v>42.6</v>
      </c>
      <c r="H111">
        <v>24</v>
      </c>
      <c r="I111">
        <v>1</v>
      </c>
    </row>
    <row r="112" spans="1:9">
      <c r="A112">
        <v>1</v>
      </c>
      <c r="B112">
        <v>9</v>
      </c>
      <c r="C112">
        <v>112</v>
      </c>
      <c r="D112">
        <v>82</v>
      </c>
      <c r="E112">
        <v>32</v>
      </c>
      <c r="F112">
        <v>175</v>
      </c>
      <c r="G112">
        <v>34.200000000000003</v>
      </c>
      <c r="H112">
        <v>36</v>
      </c>
      <c r="I112">
        <v>1</v>
      </c>
    </row>
    <row r="113" spans="1:9">
      <c r="A113">
        <v>1</v>
      </c>
      <c r="B113">
        <v>12</v>
      </c>
      <c r="C113">
        <v>151</v>
      </c>
      <c r="D113">
        <v>70</v>
      </c>
      <c r="E113">
        <v>40</v>
      </c>
      <c r="F113">
        <v>271</v>
      </c>
      <c r="G113">
        <v>41.8</v>
      </c>
      <c r="H113">
        <v>38</v>
      </c>
      <c r="I113">
        <v>1</v>
      </c>
    </row>
    <row r="114" spans="1:9">
      <c r="A114">
        <v>1</v>
      </c>
      <c r="B114">
        <v>5</v>
      </c>
      <c r="C114">
        <v>109</v>
      </c>
      <c r="D114">
        <v>62</v>
      </c>
      <c r="E114">
        <v>41</v>
      </c>
      <c r="F114">
        <v>129</v>
      </c>
      <c r="G114">
        <v>35.799999999999997</v>
      </c>
      <c r="H114">
        <v>25</v>
      </c>
      <c r="I114">
        <v>1</v>
      </c>
    </row>
    <row r="115" spans="1:9">
      <c r="A115">
        <v>1</v>
      </c>
      <c r="B115">
        <v>6</v>
      </c>
      <c r="C115">
        <v>125</v>
      </c>
      <c r="D115">
        <v>68</v>
      </c>
      <c r="E115">
        <v>30</v>
      </c>
      <c r="F115">
        <v>120</v>
      </c>
      <c r="G115">
        <v>30</v>
      </c>
      <c r="H115">
        <v>32</v>
      </c>
      <c r="I115">
        <v>0</v>
      </c>
    </row>
    <row r="116" spans="1:9">
      <c r="A116">
        <v>1</v>
      </c>
      <c r="B116">
        <v>0</v>
      </c>
      <c r="C116">
        <v>177</v>
      </c>
      <c r="D116">
        <v>60</v>
      </c>
      <c r="E116">
        <v>29</v>
      </c>
      <c r="F116">
        <v>478</v>
      </c>
      <c r="G116">
        <v>34.6</v>
      </c>
      <c r="H116">
        <v>21</v>
      </c>
      <c r="I116">
        <v>1</v>
      </c>
    </row>
    <row r="117" spans="1:9">
      <c r="A117">
        <v>1</v>
      </c>
      <c r="B117">
        <v>7</v>
      </c>
      <c r="C117">
        <v>142</v>
      </c>
      <c r="D117">
        <v>60</v>
      </c>
      <c r="E117">
        <v>33</v>
      </c>
      <c r="F117">
        <v>190</v>
      </c>
      <c r="G117">
        <v>28.8</v>
      </c>
      <c r="H117">
        <v>61</v>
      </c>
      <c r="I117">
        <v>0</v>
      </c>
    </row>
    <row r="118" spans="1:9">
      <c r="A118">
        <v>1</v>
      </c>
      <c r="B118">
        <v>1</v>
      </c>
      <c r="C118">
        <v>100</v>
      </c>
      <c r="D118">
        <v>66</v>
      </c>
      <c r="E118">
        <v>15</v>
      </c>
      <c r="F118">
        <v>56</v>
      </c>
      <c r="G118">
        <v>23.6</v>
      </c>
      <c r="H118">
        <v>26</v>
      </c>
      <c r="I118">
        <v>0</v>
      </c>
    </row>
    <row r="119" spans="1:9">
      <c r="A119">
        <v>1</v>
      </c>
      <c r="B119">
        <v>1</v>
      </c>
      <c r="C119">
        <v>87</v>
      </c>
      <c r="D119">
        <v>78</v>
      </c>
      <c r="E119">
        <v>27</v>
      </c>
      <c r="F119">
        <v>32</v>
      </c>
      <c r="G119">
        <v>34.6</v>
      </c>
      <c r="H119">
        <v>22</v>
      </c>
      <c r="I119">
        <v>0</v>
      </c>
    </row>
    <row r="120" spans="1:9">
      <c r="A120">
        <v>1</v>
      </c>
      <c r="B120">
        <v>4</v>
      </c>
      <c r="C120">
        <v>197</v>
      </c>
      <c r="D120">
        <v>70</v>
      </c>
      <c r="E120">
        <v>39</v>
      </c>
      <c r="F120">
        <v>744</v>
      </c>
      <c r="G120">
        <v>36.700000000000003</v>
      </c>
      <c r="H120">
        <v>31</v>
      </c>
      <c r="I120">
        <v>0</v>
      </c>
    </row>
    <row r="121" spans="1:9">
      <c r="A121">
        <v>1</v>
      </c>
      <c r="B121">
        <v>0</v>
      </c>
      <c r="C121">
        <v>117</v>
      </c>
      <c r="D121">
        <v>80</v>
      </c>
      <c r="E121">
        <v>31</v>
      </c>
      <c r="F121">
        <v>53</v>
      </c>
      <c r="G121">
        <v>45.2</v>
      </c>
      <c r="H121">
        <v>24</v>
      </c>
      <c r="I121">
        <v>0</v>
      </c>
    </row>
    <row r="122" spans="1:9">
      <c r="A122">
        <v>1</v>
      </c>
      <c r="B122">
        <v>6</v>
      </c>
      <c r="C122">
        <v>134</v>
      </c>
      <c r="D122">
        <v>80</v>
      </c>
      <c r="E122">
        <v>37</v>
      </c>
      <c r="F122">
        <v>370</v>
      </c>
      <c r="G122">
        <v>46.2</v>
      </c>
      <c r="H122">
        <v>46</v>
      </c>
      <c r="I122">
        <v>1</v>
      </c>
    </row>
    <row r="123" spans="1:9">
      <c r="A123">
        <v>1</v>
      </c>
      <c r="B123">
        <v>1</v>
      </c>
      <c r="C123">
        <v>79</v>
      </c>
      <c r="D123">
        <v>80</v>
      </c>
      <c r="E123">
        <v>25</v>
      </c>
      <c r="F123">
        <v>37</v>
      </c>
      <c r="G123">
        <v>25.4</v>
      </c>
      <c r="H123">
        <v>22</v>
      </c>
      <c r="I123">
        <v>0</v>
      </c>
    </row>
    <row r="124" spans="1:9">
      <c r="A124">
        <v>1</v>
      </c>
      <c r="B124">
        <v>3</v>
      </c>
      <c r="C124">
        <v>74</v>
      </c>
      <c r="D124">
        <v>68</v>
      </c>
      <c r="E124">
        <v>28</v>
      </c>
      <c r="F124">
        <v>45</v>
      </c>
      <c r="G124">
        <v>29.7</v>
      </c>
      <c r="H124">
        <v>23</v>
      </c>
      <c r="I124">
        <v>0</v>
      </c>
    </row>
    <row r="125" spans="1:9">
      <c r="A125">
        <v>1</v>
      </c>
      <c r="B125">
        <v>7</v>
      </c>
      <c r="C125">
        <v>181</v>
      </c>
      <c r="D125">
        <v>84</v>
      </c>
      <c r="E125">
        <v>21</v>
      </c>
      <c r="F125">
        <v>192</v>
      </c>
      <c r="G125">
        <v>35.9</v>
      </c>
      <c r="H125">
        <v>51</v>
      </c>
      <c r="I125">
        <v>1</v>
      </c>
    </row>
    <row r="126" spans="1:9">
      <c r="A126">
        <v>1</v>
      </c>
      <c r="B126">
        <v>4</v>
      </c>
      <c r="C126">
        <v>91</v>
      </c>
      <c r="D126">
        <v>70</v>
      </c>
      <c r="E126">
        <v>32</v>
      </c>
      <c r="F126">
        <v>88</v>
      </c>
      <c r="G126">
        <v>33.1</v>
      </c>
      <c r="H126">
        <v>22</v>
      </c>
      <c r="I126">
        <v>0</v>
      </c>
    </row>
    <row r="127" spans="1:9">
      <c r="A127">
        <v>1</v>
      </c>
      <c r="B127">
        <v>6</v>
      </c>
      <c r="C127">
        <v>119</v>
      </c>
      <c r="D127">
        <v>50</v>
      </c>
      <c r="E127">
        <v>22</v>
      </c>
      <c r="F127">
        <v>176</v>
      </c>
      <c r="G127">
        <v>27.1</v>
      </c>
      <c r="H127">
        <v>33</v>
      </c>
      <c r="I127">
        <v>1</v>
      </c>
    </row>
    <row r="128" spans="1:9">
      <c r="A128">
        <v>1</v>
      </c>
      <c r="B128">
        <v>2</v>
      </c>
      <c r="C128">
        <v>146</v>
      </c>
      <c r="D128">
        <v>76</v>
      </c>
      <c r="E128">
        <v>35</v>
      </c>
      <c r="F128">
        <v>194</v>
      </c>
      <c r="G128">
        <v>38.200000000000003</v>
      </c>
      <c r="H128">
        <v>29</v>
      </c>
      <c r="I128">
        <v>0</v>
      </c>
    </row>
    <row r="129" spans="1:9">
      <c r="A129">
        <v>1</v>
      </c>
      <c r="B129">
        <v>0</v>
      </c>
      <c r="C129">
        <v>165</v>
      </c>
      <c r="D129">
        <v>90</v>
      </c>
      <c r="E129">
        <v>33</v>
      </c>
      <c r="F129">
        <v>680</v>
      </c>
      <c r="G129">
        <v>52.3</v>
      </c>
      <c r="H129">
        <v>23</v>
      </c>
      <c r="I129">
        <v>0</v>
      </c>
    </row>
    <row r="130" spans="1:9">
      <c r="A130">
        <v>1</v>
      </c>
      <c r="B130">
        <v>9</v>
      </c>
      <c r="C130">
        <v>124</v>
      </c>
      <c r="D130">
        <v>70</v>
      </c>
      <c r="E130">
        <v>33</v>
      </c>
      <c r="F130">
        <v>402</v>
      </c>
      <c r="G130">
        <v>35.4</v>
      </c>
      <c r="H130">
        <v>34</v>
      </c>
      <c r="I130">
        <v>0</v>
      </c>
    </row>
    <row r="131" spans="1:9">
      <c r="A131">
        <v>1</v>
      </c>
      <c r="B131">
        <v>2</v>
      </c>
      <c r="C131">
        <v>90</v>
      </c>
      <c r="D131">
        <v>80</v>
      </c>
      <c r="E131">
        <v>14</v>
      </c>
      <c r="F131">
        <v>55</v>
      </c>
      <c r="G131">
        <v>24.4</v>
      </c>
      <c r="H131">
        <v>24</v>
      </c>
      <c r="I131">
        <v>0</v>
      </c>
    </row>
    <row r="132" spans="1:9">
      <c r="A132">
        <v>1</v>
      </c>
      <c r="B132">
        <v>12</v>
      </c>
      <c r="C132">
        <v>92</v>
      </c>
      <c r="D132">
        <v>62</v>
      </c>
      <c r="E132">
        <v>7</v>
      </c>
      <c r="F132">
        <v>258</v>
      </c>
      <c r="G132">
        <v>27.6</v>
      </c>
      <c r="H132">
        <v>44</v>
      </c>
      <c r="I132">
        <v>1</v>
      </c>
    </row>
    <row r="133" spans="1:9">
      <c r="A133">
        <v>1</v>
      </c>
      <c r="B133">
        <v>1</v>
      </c>
      <c r="C133">
        <v>193</v>
      </c>
      <c r="D133">
        <v>50</v>
      </c>
      <c r="E133">
        <v>16</v>
      </c>
      <c r="F133">
        <v>375</v>
      </c>
      <c r="G133">
        <v>25.9</v>
      </c>
      <c r="H133">
        <v>24</v>
      </c>
      <c r="I133">
        <v>0</v>
      </c>
    </row>
    <row r="134" spans="1:9">
      <c r="A134">
        <v>1</v>
      </c>
      <c r="B134">
        <v>11</v>
      </c>
      <c r="C134">
        <v>155</v>
      </c>
      <c r="D134">
        <v>76</v>
      </c>
      <c r="E134">
        <v>28</v>
      </c>
      <c r="F134">
        <v>150</v>
      </c>
      <c r="G134">
        <v>33.299999999999997</v>
      </c>
      <c r="H134">
        <v>51</v>
      </c>
      <c r="I134">
        <v>1</v>
      </c>
    </row>
    <row r="135" spans="1:9">
      <c r="A135">
        <v>1</v>
      </c>
      <c r="B135">
        <v>3</v>
      </c>
      <c r="C135">
        <v>191</v>
      </c>
      <c r="D135">
        <v>68</v>
      </c>
      <c r="E135">
        <v>15</v>
      </c>
      <c r="F135">
        <v>130</v>
      </c>
      <c r="G135">
        <v>30.9</v>
      </c>
      <c r="H135">
        <v>34</v>
      </c>
      <c r="I135">
        <v>0</v>
      </c>
    </row>
    <row r="136" spans="1:9">
      <c r="A136">
        <v>1</v>
      </c>
      <c r="B136">
        <v>5</v>
      </c>
      <c r="C136">
        <v>96</v>
      </c>
      <c r="D136">
        <v>74</v>
      </c>
      <c r="E136">
        <v>18</v>
      </c>
      <c r="F136">
        <v>67</v>
      </c>
      <c r="G136">
        <v>33.6</v>
      </c>
      <c r="H136">
        <v>43</v>
      </c>
      <c r="I136">
        <v>0</v>
      </c>
    </row>
    <row r="137" spans="1:9">
      <c r="A137">
        <v>1</v>
      </c>
      <c r="B137">
        <v>2</v>
      </c>
      <c r="C137">
        <v>108</v>
      </c>
      <c r="D137">
        <v>62</v>
      </c>
      <c r="E137">
        <v>32</v>
      </c>
      <c r="F137">
        <v>56</v>
      </c>
      <c r="G137">
        <v>25.2</v>
      </c>
      <c r="H137">
        <v>21</v>
      </c>
      <c r="I137">
        <v>0</v>
      </c>
    </row>
    <row r="138" spans="1:9">
      <c r="A138">
        <v>1</v>
      </c>
      <c r="B138">
        <v>1</v>
      </c>
      <c r="C138">
        <v>71</v>
      </c>
      <c r="D138">
        <v>78</v>
      </c>
      <c r="E138">
        <v>50</v>
      </c>
      <c r="F138">
        <v>45</v>
      </c>
      <c r="G138">
        <v>33.200000000000003</v>
      </c>
      <c r="H138">
        <v>21</v>
      </c>
      <c r="I138">
        <v>0</v>
      </c>
    </row>
    <row r="139" spans="1:9">
      <c r="A139">
        <v>1</v>
      </c>
      <c r="B139">
        <v>2</v>
      </c>
      <c r="C139">
        <v>100</v>
      </c>
      <c r="D139">
        <v>70</v>
      </c>
      <c r="E139">
        <v>52</v>
      </c>
      <c r="F139">
        <v>57</v>
      </c>
      <c r="G139">
        <v>40.5</v>
      </c>
      <c r="H139">
        <v>25</v>
      </c>
      <c r="I139">
        <v>0</v>
      </c>
    </row>
    <row r="140" spans="1:9">
      <c r="A140">
        <v>1</v>
      </c>
      <c r="B140">
        <v>0</v>
      </c>
      <c r="C140">
        <v>104</v>
      </c>
      <c r="D140">
        <v>64</v>
      </c>
      <c r="E140">
        <v>23</v>
      </c>
      <c r="F140">
        <v>116</v>
      </c>
      <c r="G140">
        <v>27.8</v>
      </c>
      <c r="H140">
        <v>23</v>
      </c>
      <c r="I140">
        <v>0</v>
      </c>
    </row>
    <row r="141" spans="1:9">
      <c r="A141">
        <v>1</v>
      </c>
      <c r="B141">
        <v>2</v>
      </c>
      <c r="C141">
        <v>108</v>
      </c>
      <c r="D141">
        <v>62</v>
      </c>
      <c r="E141">
        <v>10</v>
      </c>
      <c r="F141">
        <v>278</v>
      </c>
      <c r="G141">
        <v>25.3</v>
      </c>
      <c r="H141">
        <v>22</v>
      </c>
      <c r="I141">
        <v>0</v>
      </c>
    </row>
    <row r="142" spans="1:9">
      <c r="A142">
        <v>1</v>
      </c>
      <c r="B142">
        <v>10</v>
      </c>
      <c r="C142">
        <v>129</v>
      </c>
      <c r="D142">
        <v>76</v>
      </c>
      <c r="E142">
        <v>28</v>
      </c>
      <c r="F142">
        <v>122</v>
      </c>
      <c r="G142">
        <v>35.9</v>
      </c>
      <c r="H142">
        <v>39</v>
      </c>
      <c r="I142">
        <v>0</v>
      </c>
    </row>
    <row r="143" spans="1:9">
      <c r="A143">
        <v>1</v>
      </c>
      <c r="B143">
        <v>7</v>
      </c>
      <c r="C143">
        <v>133</v>
      </c>
      <c r="D143">
        <v>88</v>
      </c>
      <c r="E143">
        <v>15</v>
      </c>
      <c r="F143">
        <v>155</v>
      </c>
      <c r="G143">
        <v>32.4</v>
      </c>
      <c r="H143">
        <v>37</v>
      </c>
      <c r="I143">
        <v>0</v>
      </c>
    </row>
    <row r="144" spans="1:9">
      <c r="A144">
        <v>1</v>
      </c>
      <c r="B144">
        <v>7</v>
      </c>
      <c r="C144">
        <v>136</v>
      </c>
      <c r="D144">
        <v>74</v>
      </c>
      <c r="E144">
        <v>26</v>
      </c>
      <c r="F144">
        <v>135</v>
      </c>
      <c r="G144">
        <v>26</v>
      </c>
      <c r="H144">
        <v>51</v>
      </c>
      <c r="I144">
        <v>0</v>
      </c>
    </row>
    <row r="145" spans="1:9">
      <c r="A145">
        <v>1</v>
      </c>
      <c r="B145">
        <v>5</v>
      </c>
      <c r="C145">
        <v>155</v>
      </c>
      <c r="D145">
        <v>84</v>
      </c>
      <c r="E145">
        <v>44</v>
      </c>
      <c r="F145">
        <v>545</v>
      </c>
      <c r="G145">
        <v>38.700000000000003</v>
      </c>
      <c r="H145">
        <v>34</v>
      </c>
      <c r="I145">
        <v>0</v>
      </c>
    </row>
    <row r="146" spans="1:9">
      <c r="A146">
        <v>1</v>
      </c>
      <c r="B146">
        <v>1</v>
      </c>
      <c r="C146">
        <v>119</v>
      </c>
      <c r="D146">
        <v>86</v>
      </c>
      <c r="E146">
        <v>39</v>
      </c>
      <c r="F146">
        <v>220</v>
      </c>
      <c r="G146">
        <v>45.6</v>
      </c>
      <c r="H146">
        <v>29</v>
      </c>
      <c r="I146">
        <v>1</v>
      </c>
    </row>
    <row r="147" spans="1:9">
      <c r="A147">
        <v>1</v>
      </c>
      <c r="B147">
        <v>4</v>
      </c>
      <c r="C147">
        <v>96</v>
      </c>
      <c r="D147">
        <v>56</v>
      </c>
      <c r="E147">
        <v>17</v>
      </c>
      <c r="F147">
        <v>49</v>
      </c>
      <c r="G147">
        <v>20.8</v>
      </c>
      <c r="H147">
        <v>26</v>
      </c>
      <c r="I147">
        <v>0</v>
      </c>
    </row>
    <row r="148" spans="1:9">
      <c r="A148">
        <v>1</v>
      </c>
      <c r="B148">
        <v>5</v>
      </c>
      <c r="C148">
        <v>108</v>
      </c>
      <c r="D148">
        <v>72</v>
      </c>
      <c r="E148">
        <v>43</v>
      </c>
      <c r="F148">
        <v>75</v>
      </c>
      <c r="G148">
        <v>36.1</v>
      </c>
      <c r="H148">
        <v>33</v>
      </c>
      <c r="I148">
        <v>0</v>
      </c>
    </row>
    <row r="149" spans="1:9">
      <c r="A149">
        <v>1</v>
      </c>
      <c r="B149">
        <v>0</v>
      </c>
      <c r="C149">
        <v>78</v>
      </c>
      <c r="D149">
        <v>88</v>
      </c>
      <c r="E149">
        <v>29</v>
      </c>
      <c r="F149">
        <v>40</v>
      </c>
      <c r="G149">
        <v>36.9</v>
      </c>
      <c r="H149">
        <v>21</v>
      </c>
      <c r="I149">
        <v>0</v>
      </c>
    </row>
    <row r="150" spans="1:9">
      <c r="A150">
        <v>1</v>
      </c>
      <c r="B150">
        <v>0</v>
      </c>
      <c r="C150">
        <v>107</v>
      </c>
      <c r="D150">
        <v>62</v>
      </c>
      <c r="E150">
        <v>30</v>
      </c>
      <c r="F150">
        <v>74</v>
      </c>
      <c r="G150">
        <v>36.6</v>
      </c>
      <c r="H150">
        <v>25</v>
      </c>
      <c r="I150">
        <v>1</v>
      </c>
    </row>
    <row r="151" spans="1:9">
      <c r="A151">
        <v>1</v>
      </c>
      <c r="B151">
        <v>2</v>
      </c>
      <c r="C151">
        <v>128</v>
      </c>
      <c r="D151">
        <v>78</v>
      </c>
      <c r="E151">
        <v>37</v>
      </c>
      <c r="F151">
        <v>182</v>
      </c>
      <c r="G151">
        <v>43.3</v>
      </c>
      <c r="H151">
        <v>31</v>
      </c>
      <c r="I151">
        <v>1</v>
      </c>
    </row>
    <row r="152" spans="1:9">
      <c r="A152">
        <v>1</v>
      </c>
      <c r="B152">
        <v>1</v>
      </c>
      <c r="C152">
        <v>128</v>
      </c>
      <c r="D152">
        <v>48</v>
      </c>
      <c r="E152">
        <v>45</v>
      </c>
      <c r="F152">
        <v>194</v>
      </c>
      <c r="G152">
        <v>40.5</v>
      </c>
      <c r="H152">
        <v>24</v>
      </c>
      <c r="I152">
        <v>1</v>
      </c>
    </row>
    <row r="153" spans="1:9">
      <c r="A153">
        <v>1</v>
      </c>
      <c r="B153">
        <v>6</v>
      </c>
      <c r="C153">
        <v>151</v>
      </c>
      <c r="D153">
        <v>62</v>
      </c>
      <c r="E153">
        <v>31</v>
      </c>
      <c r="F153">
        <v>120</v>
      </c>
      <c r="G153">
        <v>35.5</v>
      </c>
      <c r="H153">
        <v>28</v>
      </c>
      <c r="I153">
        <v>0</v>
      </c>
    </row>
    <row r="154" spans="1:9">
      <c r="A154">
        <v>1</v>
      </c>
      <c r="B154">
        <v>2</v>
      </c>
      <c r="C154">
        <v>146</v>
      </c>
      <c r="D154">
        <v>70</v>
      </c>
      <c r="E154">
        <v>38</v>
      </c>
      <c r="F154">
        <v>360</v>
      </c>
      <c r="G154">
        <v>28</v>
      </c>
      <c r="H154">
        <v>29</v>
      </c>
      <c r="I154">
        <v>1</v>
      </c>
    </row>
    <row r="155" spans="1:9">
      <c r="A155">
        <v>1</v>
      </c>
      <c r="B155">
        <v>0</v>
      </c>
      <c r="C155">
        <v>126</v>
      </c>
      <c r="D155">
        <v>84</v>
      </c>
      <c r="E155">
        <v>29</v>
      </c>
      <c r="F155">
        <v>215</v>
      </c>
      <c r="G155">
        <v>30.7</v>
      </c>
      <c r="H155">
        <v>24</v>
      </c>
      <c r="I155">
        <v>0</v>
      </c>
    </row>
    <row r="156" spans="1:9">
      <c r="A156">
        <v>1</v>
      </c>
      <c r="B156">
        <v>14</v>
      </c>
      <c r="C156">
        <v>100</v>
      </c>
      <c r="D156">
        <v>78</v>
      </c>
      <c r="E156">
        <v>25</v>
      </c>
      <c r="F156">
        <v>184</v>
      </c>
      <c r="G156">
        <v>36.6</v>
      </c>
      <c r="H156">
        <v>46</v>
      </c>
      <c r="I156">
        <v>1</v>
      </c>
    </row>
    <row r="157" spans="1:9">
      <c r="A157">
        <v>1</v>
      </c>
      <c r="B157">
        <v>2</v>
      </c>
      <c r="C157">
        <v>144</v>
      </c>
      <c r="D157">
        <v>58</v>
      </c>
      <c r="E157">
        <v>33</v>
      </c>
      <c r="F157">
        <v>135</v>
      </c>
      <c r="G157">
        <v>31.6</v>
      </c>
      <c r="H157">
        <v>25</v>
      </c>
      <c r="I157">
        <v>1</v>
      </c>
    </row>
    <row r="158" spans="1:9">
      <c r="A158">
        <v>1</v>
      </c>
      <c r="B158">
        <v>5</v>
      </c>
      <c r="C158">
        <v>77</v>
      </c>
      <c r="D158">
        <v>82</v>
      </c>
      <c r="E158">
        <v>41</v>
      </c>
      <c r="F158">
        <v>42</v>
      </c>
      <c r="G158">
        <v>35.799999999999997</v>
      </c>
      <c r="H158">
        <v>35</v>
      </c>
      <c r="I158">
        <v>0</v>
      </c>
    </row>
    <row r="159" spans="1:9">
      <c r="A159">
        <v>1</v>
      </c>
      <c r="B159">
        <v>2</v>
      </c>
      <c r="C159">
        <v>120</v>
      </c>
      <c r="D159">
        <v>76</v>
      </c>
      <c r="E159">
        <v>37</v>
      </c>
      <c r="F159">
        <v>105</v>
      </c>
      <c r="G159">
        <v>39.700000000000003</v>
      </c>
      <c r="H159">
        <v>29</v>
      </c>
      <c r="I159">
        <v>0</v>
      </c>
    </row>
    <row r="160" spans="1:9">
      <c r="A160">
        <v>1</v>
      </c>
      <c r="B160">
        <v>10</v>
      </c>
      <c r="C160">
        <v>161</v>
      </c>
      <c r="D160">
        <v>68</v>
      </c>
      <c r="E160">
        <v>23</v>
      </c>
      <c r="F160">
        <v>132</v>
      </c>
      <c r="G160">
        <v>25.5</v>
      </c>
      <c r="H160">
        <v>47</v>
      </c>
      <c r="I160">
        <v>1</v>
      </c>
    </row>
    <row r="161" spans="1:9">
      <c r="A161">
        <v>1</v>
      </c>
      <c r="B161">
        <v>0</v>
      </c>
      <c r="C161">
        <v>137</v>
      </c>
      <c r="D161">
        <v>68</v>
      </c>
      <c r="E161">
        <v>14</v>
      </c>
      <c r="F161">
        <v>148</v>
      </c>
      <c r="G161">
        <v>24.8</v>
      </c>
      <c r="H161">
        <v>21</v>
      </c>
      <c r="I161">
        <v>0</v>
      </c>
    </row>
    <row r="162" spans="1:9">
      <c r="A162">
        <v>1</v>
      </c>
      <c r="B162">
        <v>0</v>
      </c>
      <c r="C162">
        <v>128</v>
      </c>
      <c r="D162">
        <v>68</v>
      </c>
      <c r="E162">
        <v>19</v>
      </c>
      <c r="F162">
        <v>180</v>
      </c>
      <c r="G162">
        <v>30.5</v>
      </c>
      <c r="H162">
        <v>25</v>
      </c>
      <c r="I162">
        <v>1</v>
      </c>
    </row>
    <row r="163" spans="1:9">
      <c r="A163">
        <v>1</v>
      </c>
      <c r="B163">
        <v>2</v>
      </c>
      <c r="C163">
        <v>124</v>
      </c>
      <c r="D163">
        <v>68</v>
      </c>
      <c r="E163">
        <v>28</v>
      </c>
      <c r="F163">
        <v>205</v>
      </c>
      <c r="G163">
        <v>32.9</v>
      </c>
      <c r="H163">
        <v>30</v>
      </c>
      <c r="I163">
        <v>1</v>
      </c>
    </row>
    <row r="164" spans="1:9">
      <c r="A164">
        <v>1</v>
      </c>
      <c r="B164">
        <v>0</v>
      </c>
      <c r="C164">
        <v>106</v>
      </c>
      <c r="D164">
        <v>70</v>
      </c>
      <c r="E164">
        <v>37</v>
      </c>
      <c r="F164">
        <v>148</v>
      </c>
      <c r="G164">
        <v>39.4</v>
      </c>
      <c r="H164">
        <v>22</v>
      </c>
      <c r="I164">
        <v>0</v>
      </c>
    </row>
    <row r="165" spans="1:9">
      <c r="A165">
        <v>1</v>
      </c>
      <c r="B165">
        <v>2</v>
      </c>
      <c r="C165">
        <v>155</v>
      </c>
      <c r="D165">
        <v>74</v>
      </c>
      <c r="E165">
        <v>17</v>
      </c>
      <c r="F165">
        <v>96</v>
      </c>
      <c r="G165">
        <v>26.6</v>
      </c>
      <c r="H165">
        <v>27</v>
      </c>
      <c r="I165">
        <v>1</v>
      </c>
    </row>
    <row r="166" spans="1:9">
      <c r="A166">
        <v>1</v>
      </c>
      <c r="B166">
        <v>3</v>
      </c>
      <c r="C166">
        <v>113</v>
      </c>
      <c r="D166">
        <v>50</v>
      </c>
      <c r="E166">
        <v>10</v>
      </c>
      <c r="F166">
        <v>85</v>
      </c>
      <c r="G166">
        <v>29.5</v>
      </c>
      <c r="H166">
        <v>25</v>
      </c>
      <c r="I166">
        <v>0</v>
      </c>
    </row>
    <row r="167" spans="1:9">
      <c r="A167">
        <v>1</v>
      </c>
      <c r="B167">
        <v>2</v>
      </c>
      <c r="C167">
        <v>112</v>
      </c>
      <c r="D167">
        <v>68</v>
      </c>
      <c r="E167">
        <v>22</v>
      </c>
      <c r="F167">
        <v>94</v>
      </c>
      <c r="G167">
        <v>34.1</v>
      </c>
      <c r="H167">
        <v>26</v>
      </c>
      <c r="I167">
        <v>0</v>
      </c>
    </row>
    <row r="168" spans="1:9">
      <c r="A168">
        <v>1</v>
      </c>
      <c r="B168">
        <v>3</v>
      </c>
      <c r="C168">
        <v>99</v>
      </c>
      <c r="D168">
        <v>80</v>
      </c>
      <c r="E168">
        <v>11</v>
      </c>
      <c r="F168">
        <v>64</v>
      </c>
      <c r="G168">
        <v>19.3</v>
      </c>
      <c r="H168">
        <v>30</v>
      </c>
      <c r="I168">
        <v>0</v>
      </c>
    </row>
    <row r="169" spans="1:9">
      <c r="A169">
        <v>1</v>
      </c>
      <c r="B169">
        <v>3</v>
      </c>
      <c r="C169">
        <v>115</v>
      </c>
      <c r="D169">
        <v>66</v>
      </c>
      <c r="E169">
        <v>39</v>
      </c>
      <c r="F169">
        <v>140</v>
      </c>
      <c r="G169">
        <v>38.1</v>
      </c>
      <c r="H169">
        <v>28</v>
      </c>
      <c r="I169">
        <v>0</v>
      </c>
    </row>
    <row r="170" spans="1:9">
      <c r="A170">
        <v>1</v>
      </c>
      <c r="B170">
        <v>4</v>
      </c>
      <c r="C170">
        <v>129</v>
      </c>
      <c r="D170">
        <v>60</v>
      </c>
      <c r="E170">
        <v>12</v>
      </c>
      <c r="F170">
        <v>231</v>
      </c>
      <c r="G170">
        <v>27.5</v>
      </c>
      <c r="H170">
        <v>31</v>
      </c>
      <c r="I170">
        <v>0</v>
      </c>
    </row>
    <row r="171" spans="1:9">
      <c r="A171">
        <v>1</v>
      </c>
      <c r="B171">
        <v>13</v>
      </c>
      <c r="C171">
        <v>152</v>
      </c>
      <c r="D171">
        <v>90</v>
      </c>
      <c r="E171">
        <v>33</v>
      </c>
      <c r="F171">
        <v>29</v>
      </c>
      <c r="G171">
        <v>26.8</v>
      </c>
      <c r="H171">
        <v>43</v>
      </c>
      <c r="I171">
        <v>1</v>
      </c>
    </row>
    <row r="172" spans="1:9">
      <c r="A172">
        <v>1</v>
      </c>
      <c r="B172">
        <v>1</v>
      </c>
      <c r="C172">
        <v>157</v>
      </c>
      <c r="D172">
        <v>72</v>
      </c>
      <c r="E172">
        <v>21</v>
      </c>
      <c r="F172">
        <v>168</v>
      </c>
      <c r="G172">
        <v>25.6</v>
      </c>
      <c r="H172">
        <v>24</v>
      </c>
      <c r="I172">
        <v>0</v>
      </c>
    </row>
    <row r="173" spans="1:9">
      <c r="A173">
        <v>1</v>
      </c>
      <c r="B173">
        <v>1</v>
      </c>
      <c r="C173">
        <v>122</v>
      </c>
      <c r="D173">
        <v>64</v>
      </c>
      <c r="E173">
        <v>32</v>
      </c>
      <c r="F173">
        <v>156</v>
      </c>
      <c r="G173">
        <v>35.1</v>
      </c>
      <c r="H173">
        <v>30</v>
      </c>
      <c r="I173">
        <v>1</v>
      </c>
    </row>
    <row r="174" spans="1:9">
      <c r="A174">
        <v>1</v>
      </c>
      <c r="B174">
        <v>2</v>
      </c>
      <c r="C174">
        <v>102</v>
      </c>
      <c r="D174">
        <v>86</v>
      </c>
      <c r="E174">
        <v>36</v>
      </c>
      <c r="F174">
        <v>120</v>
      </c>
      <c r="G174">
        <v>45.5</v>
      </c>
      <c r="H174">
        <v>23</v>
      </c>
      <c r="I174">
        <v>1</v>
      </c>
    </row>
    <row r="175" spans="1:9">
      <c r="A175">
        <v>1</v>
      </c>
      <c r="B175">
        <v>6</v>
      </c>
      <c r="C175">
        <v>105</v>
      </c>
      <c r="D175">
        <v>70</v>
      </c>
      <c r="E175">
        <v>32</v>
      </c>
      <c r="F175">
        <v>68</v>
      </c>
      <c r="G175">
        <v>30.8</v>
      </c>
      <c r="H175">
        <v>37</v>
      </c>
      <c r="I175">
        <v>0</v>
      </c>
    </row>
    <row r="176" spans="1:9">
      <c r="A176">
        <v>1</v>
      </c>
      <c r="B176">
        <v>2</v>
      </c>
      <c r="C176">
        <v>87</v>
      </c>
      <c r="D176">
        <v>58</v>
      </c>
      <c r="E176">
        <v>16</v>
      </c>
      <c r="F176">
        <v>52</v>
      </c>
      <c r="G176">
        <v>32.700000000000003</v>
      </c>
      <c r="H176">
        <v>25</v>
      </c>
      <c r="I176">
        <v>0</v>
      </c>
    </row>
    <row r="177" spans="1:9">
      <c r="A177">
        <v>1</v>
      </c>
      <c r="B177">
        <v>1</v>
      </c>
      <c r="C177">
        <v>95</v>
      </c>
      <c r="D177">
        <v>60</v>
      </c>
      <c r="E177">
        <v>18</v>
      </c>
      <c r="F177">
        <v>58</v>
      </c>
      <c r="G177">
        <v>23.9</v>
      </c>
      <c r="H177">
        <v>22</v>
      </c>
      <c r="I177">
        <v>0</v>
      </c>
    </row>
    <row r="178" spans="1:9">
      <c r="A178">
        <v>1</v>
      </c>
      <c r="B178">
        <v>0</v>
      </c>
      <c r="C178">
        <v>165</v>
      </c>
      <c r="D178">
        <v>76</v>
      </c>
      <c r="E178">
        <v>43</v>
      </c>
      <c r="F178">
        <v>255</v>
      </c>
      <c r="G178">
        <v>47.9</v>
      </c>
      <c r="H178">
        <v>26</v>
      </c>
      <c r="I178">
        <v>0</v>
      </c>
    </row>
    <row r="179" spans="1:9">
      <c r="A179">
        <v>1</v>
      </c>
      <c r="B179">
        <v>9</v>
      </c>
      <c r="C179">
        <v>152</v>
      </c>
      <c r="D179">
        <v>78</v>
      </c>
      <c r="E179">
        <v>34</v>
      </c>
      <c r="F179">
        <v>171</v>
      </c>
      <c r="G179">
        <v>34.200000000000003</v>
      </c>
      <c r="H179">
        <v>33</v>
      </c>
      <c r="I179">
        <v>1</v>
      </c>
    </row>
    <row r="180" spans="1:9">
      <c r="A180">
        <v>1</v>
      </c>
      <c r="B180">
        <v>1</v>
      </c>
      <c r="C180">
        <v>130</v>
      </c>
      <c r="D180">
        <v>70</v>
      </c>
      <c r="E180">
        <v>13</v>
      </c>
      <c r="F180">
        <v>105</v>
      </c>
      <c r="G180">
        <v>25.9</v>
      </c>
      <c r="H180">
        <v>22</v>
      </c>
      <c r="I180">
        <v>0</v>
      </c>
    </row>
    <row r="181" spans="1:9">
      <c r="A181">
        <v>1</v>
      </c>
      <c r="B181">
        <v>1</v>
      </c>
      <c r="C181">
        <v>95</v>
      </c>
      <c r="D181">
        <v>74</v>
      </c>
      <c r="E181">
        <v>21</v>
      </c>
      <c r="F181">
        <v>73</v>
      </c>
      <c r="G181">
        <v>25.9</v>
      </c>
      <c r="H181">
        <v>36</v>
      </c>
      <c r="I181">
        <v>0</v>
      </c>
    </row>
    <row r="182" spans="1:9">
      <c r="A182">
        <v>1</v>
      </c>
      <c r="B182">
        <v>8</v>
      </c>
      <c r="C182">
        <v>126</v>
      </c>
      <c r="D182">
        <v>88</v>
      </c>
      <c r="E182">
        <v>36</v>
      </c>
      <c r="F182">
        <v>108</v>
      </c>
      <c r="G182">
        <v>38.5</v>
      </c>
      <c r="H182">
        <v>49</v>
      </c>
      <c r="I182">
        <v>0</v>
      </c>
    </row>
    <row r="183" spans="1:9">
      <c r="A183">
        <v>1</v>
      </c>
      <c r="B183">
        <v>1</v>
      </c>
      <c r="C183">
        <v>139</v>
      </c>
      <c r="D183">
        <v>46</v>
      </c>
      <c r="E183">
        <v>19</v>
      </c>
      <c r="F183">
        <v>83</v>
      </c>
      <c r="G183">
        <v>28.7</v>
      </c>
      <c r="H183">
        <v>22</v>
      </c>
      <c r="I183">
        <v>0</v>
      </c>
    </row>
    <row r="184" spans="1:9">
      <c r="A184">
        <v>1</v>
      </c>
      <c r="B184">
        <v>3</v>
      </c>
      <c r="C184">
        <v>99</v>
      </c>
      <c r="D184">
        <v>62</v>
      </c>
      <c r="E184">
        <v>19</v>
      </c>
      <c r="F184">
        <v>74</v>
      </c>
      <c r="G184">
        <v>21.8</v>
      </c>
      <c r="H184">
        <v>26</v>
      </c>
      <c r="I184">
        <v>0</v>
      </c>
    </row>
    <row r="185" spans="1:9">
      <c r="A185">
        <v>1</v>
      </c>
      <c r="B185">
        <v>1</v>
      </c>
      <c r="C185">
        <v>90</v>
      </c>
      <c r="D185">
        <v>62</v>
      </c>
      <c r="E185">
        <v>12</v>
      </c>
      <c r="F185">
        <v>43</v>
      </c>
      <c r="G185">
        <v>27.2</v>
      </c>
      <c r="H185">
        <v>24</v>
      </c>
      <c r="I185">
        <v>0</v>
      </c>
    </row>
    <row r="186" spans="1:9">
      <c r="A186">
        <v>1</v>
      </c>
      <c r="B186">
        <v>1</v>
      </c>
      <c r="C186">
        <v>125</v>
      </c>
      <c r="D186">
        <v>50</v>
      </c>
      <c r="E186">
        <v>40</v>
      </c>
      <c r="F186">
        <v>167</v>
      </c>
      <c r="G186">
        <v>33.299999999999997</v>
      </c>
      <c r="H186">
        <v>28</v>
      </c>
      <c r="I186">
        <v>1</v>
      </c>
    </row>
    <row r="187" spans="1:9">
      <c r="A187">
        <v>1</v>
      </c>
      <c r="B187">
        <v>12</v>
      </c>
      <c r="C187">
        <v>88</v>
      </c>
      <c r="D187">
        <v>74</v>
      </c>
      <c r="E187">
        <v>40</v>
      </c>
      <c r="F187">
        <v>54</v>
      </c>
      <c r="G187">
        <v>35.299999999999997</v>
      </c>
      <c r="H187">
        <v>48</v>
      </c>
      <c r="I187">
        <v>0</v>
      </c>
    </row>
    <row r="188" spans="1:9">
      <c r="A188">
        <v>1</v>
      </c>
      <c r="B188">
        <v>1</v>
      </c>
      <c r="C188">
        <v>196</v>
      </c>
      <c r="D188">
        <v>76</v>
      </c>
      <c r="E188">
        <v>36</v>
      </c>
      <c r="F188">
        <v>249</v>
      </c>
      <c r="G188">
        <v>36.5</v>
      </c>
      <c r="H188">
        <v>29</v>
      </c>
      <c r="I188">
        <v>1</v>
      </c>
    </row>
    <row r="189" spans="1:9">
      <c r="A189">
        <v>1</v>
      </c>
      <c r="B189">
        <v>5</v>
      </c>
      <c r="C189">
        <v>189</v>
      </c>
      <c r="D189">
        <v>64</v>
      </c>
      <c r="E189">
        <v>33</v>
      </c>
      <c r="F189">
        <v>325</v>
      </c>
      <c r="G189">
        <v>31.2</v>
      </c>
      <c r="H189">
        <v>29</v>
      </c>
      <c r="I189">
        <v>1</v>
      </c>
    </row>
    <row r="190" spans="1:9">
      <c r="A190">
        <v>1</v>
      </c>
      <c r="B190">
        <v>4</v>
      </c>
      <c r="C190">
        <v>147</v>
      </c>
      <c r="D190">
        <v>74</v>
      </c>
      <c r="E190">
        <v>25</v>
      </c>
      <c r="F190">
        <v>293</v>
      </c>
      <c r="G190">
        <v>34.9</v>
      </c>
      <c r="H190">
        <v>30</v>
      </c>
      <c r="I190">
        <v>0</v>
      </c>
    </row>
    <row r="191" spans="1:9">
      <c r="A191">
        <v>1</v>
      </c>
      <c r="B191">
        <v>5</v>
      </c>
      <c r="C191">
        <v>99</v>
      </c>
      <c r="D191">
        <v>54</v>
      </c>
      <c r="E191">
        <v>28</v>
      </c>
      <c r="F191">
        <v>83</v>
      </c>
      <c r="G191">
        <v>34</v>
      </c>
      <c r="H191">
        <v>30</v>
      </c>
      <c r="I191">
        <v>0</v>
      </c>
    </row>
    <row r="192" spans="1:9">
      <c r="A192">
        <v>1</v>
      </c>
      <c r="B192">
        <v>3</v>
      </c>
      <c r="C192">
        <v>81</v>
      </c>
      <c r="D192">
        <v>86</v>
      </c>
      <c r="E192">
        <v>16</v>
      </c>
      <c r="F192">
        <v>66</v>
      </c>
      <c r="G192">
        <v>27.5</v>
      </c>
      <c r="H192">
        <v>22</v>
      </c>
      <c r="I192">
        <v>0</v>
      </c>
    </row>
    <row r="193" spans="1:9">
      <c r="A193">
        <v>1</v>
      </c>
      <c r="B193">
        <v>1</v>
      </c>
      <c r="C193">
        <v>133</v>
      </c>
      <c r="D193">
        <v>102</v>
      </c>
      <c r="E193">
        <v>28</v>
      </c>
      <c r="F193">
        <v>140</v>
      </c>
      <c r="G193">
        <v>32.799999999999997</v>
      </c>
      <c r="H193">
        <v>45</v>
      </c>
      <c r="I193">
        <v>1</v>
      </c>
    </row>
    <row r="194" spans="1:9">
      <c r="A194">
        <v>1</v>
      </c>
      <c r="B194">
        <v>3</v>
      </c>
      <c r="C194">
        <v>173</v>
      </c>
      <c r="D194">
        <v>82</v>
      </c>
      <c r="E194">
        <v>48</v>
      </c>
      <c r="F194">
        <v>465</v>
      </c>
      <c r="G194">
        <v>38.4</v>
      </c>
      <c r="H194">
        <v>25</v>
      </c>
      <c r="I194">
        <v>1</v>
      </c>
    </row>
    <row r="195" spans="1:9">
      <c r="A195">
        <v>1</v>
      </c>
      <c r="B195">
        <v>0</v>
      </c>
      <c r="C195">
        <v>84</v>
      </c>
      <c r="D195">
        <v>64</v>
      </c>
      <c r="E195">
        <v>22</v>
      </c>
      <c r="F195">
        <v>66</v>
      </c>
      <c r="G195">
        <v>35.799999999999997</v>
      </c>
      <c r="H195">
        <v>21</v>
      </c>
      <c r="I195">
        <v>0</v>
      </c>
    </row>
    <row r="196" spans="1:9">
      <c r="A196">
        <v>1</v>
      </c>
      <c r="B196">
        <v>2</v>
      </c>
      <c r="C196">
        <v>105</v>
      </c>
      <c r="D196">
        <v>58</v>
      </c>
      <c r="E196">
        <v>40</v>
      </c>
      <c r="F196">
        <v>94</v>
      </c>
      <c r="G196">
        <v>34.9</v>
      </c>
      <c r="H196">
        <v>25</v>
      </c>
      <c r="I196">
        <v>0</v>
      </c>
    </row>
    <row r="197" spans="1:9">
      <c r="A197">
        <v>1</v>
      </c>
      <c r="B197">
        <v>2</v>
      </c>
      <c r="C197">
        <v>122</v>
      </c>
      <c r="D197">
        <v>52</v>
      </c>
      <c r="E197">
        <v>43</v>
      </c>
      <c r="F197">
        <v>158</v>
      </c>
      <c r="G197">
        <v>36.200000000000003</v>
      </c>
      <c r="H197">
        <v>28</v>
      </c>
      <c r="I197">
        <v>0</v>
      </c>
    </row>
    <row r="198" spans="1:9">
      <c r="A198">
        <v>1</v>
      </c>
      <c r="B198">
        <v>12</v>
      </c>
      <c r="C198">
        <v>140</v>
      </c>
      <c r="D198">
        <v>82</v>
      </c>
      <c r="E198">
        <v>43</v>
      </c>
      <c r="F198">
        <v>325</v>
      </c>
      <c r="G198">
        <v>39.200000000000003</v>
      </c>
      <c r="H198">
        <v>58</v>
      </c>
      <c r="I198">
        <v>1</v>
      </c>
    </row>
    <row r="199" spans="1:9">
      <c r="A199">
        <v>1</v>
      </c>
      <c r="B199">
        <v>0</v>
      </c>
      <c r="C199">
        <v>98</v>
      </c>
      <c r="D199">
        <v>82</v>
      </c>
      <c r="E199">
        <v>15</v>
      </c>
      <c r="F199">
        <v>84</v>
      </c>
      <c r="G199">
        <v>25.2</v>
      </c>
      <c r="H199">
        <v>22</v>
      </c>
      <c r="I199">
        <v>0</v>
      </c>
    </row>
    <row r="200" spans="1:9">
      <c r="A200">
        <v>1</v>
      </c>
      <c r="B200">
        <v>1</v>
      </c>
      <c r="C200">
        <v>87</v>
      </c>
      <c r="D200">
        <v>60</v>
      </c>
      <c r="E200">
        <v>37</v>
      </c>
      <c r="F200">
        <v>75</v>
      </c>
      <c r="G200">
        <v>37.200000000000003</v>
      </c>
      <c r="H200">
        <v>22</v>
      </c>
      <c r="I200">
        <v>0</v>
      </c>
    </row>
    <row r="201" spans="1:9">
      <c r="A201">
        <v>1</v>
      </c>
      <c r="B201">
        <v>0</v>
      </c>
      <c r="C201">
        <v>93</v>
      </c>
      <c r="D201">
        <v>100</v>
      </c>
      <c r="E201">
        <v>39</v>
      </c>
      <c r="F201">
        <v>72</v>
      </c>
      <c r="G201">
        <v>43.4</v>
      </c>
      <c r="H201">
        <v>35</v>
      </c>
      <c r="I201">
        <v>0</v>
      </c>
    </row>
    <row r="202" spans="1:9">
      <c r="A202">
        <v>1</v>
      </c>
      <c r="B202">
        <v>1</v>
      </c>
      <c r="C202">
        <v>107</v>
      </c>
      <c r="D202">
        <v>72</v>
      </c>
      <c r="E202">
        <v>30</v>
      </c>
      <c r="F202">
        <v>82</v>
      </c>
      <c r="G202">
        <v>30.8</v>
      </c>
      <c r="H202">
        <v>24</v>
      </c>
      <c r="I202">
        <v>0</v>
      </c>
    </row>
    <row r="203" spans="1:9">
      <c r="A203">
        <v>1</v>
      </c>
      <c r="B203">
        <v>1</v>
      </c>
      <c r="C203">
        <v>109</v>
      </c>
      <c r="D203">
        <v>60</v>
      </c>
      <c r="E203">
        <v>8</v>
      </c>
      <c r="F203">
        <v>182</v>
      </c>
      <c r="G203">
        <v>25.4</v>
      </c>
      <c r="H203">
        <v>21</v>
      </c>
      <c r="I203">
        <v>0</v>
      </c>
    </row>
    <row r="204" spans="1:9">
      <c r="A204">
        <v>1</v>
      </c>
      <c r="B204">
        <v>1</v>
      </c>
      <c r="C204">
        <v>90</v>
      </c>
      <c r="D204">
        <v>62</v>
      </c>
      <c r="E204">
        <v>18</v>
      </c>
      <c r="F204">
        <v>59</v>
      </c>
      <c r="G204">
        <v>25.1</v>
      </c>
      <c r="H204">
        <v>25</v>
      </c>
      <c r="I204">
        <v>0</v>
      </c>
    </row>
    <row r="205" spans="1:9">
      <c r="A205">
        <v>1</v>
      </c>
      <c r="B205">
        <v>1</v>
      </c>
      <c r="C205">
        <v>125</v>
      </c>
      <c r="D205">
        <v>70</v>
      </c>
      <c r="E205">
        <v>24</v>
      </c>
      <c r="F205">
        <v>110</v>
      </c>
      <c r="G205">
        <v>24.3</v>
      </c>
      <c r="H205">
        <v>25</v>
      </c>
      <c r="I205">
        <v>0</v>
      </c>
    </row>
    <row r="206" spans="1:9">
      <c r="A206">
        <v>1</v>
      </c>
      <c r="B206">
        <v>1</v>
      </c>
      <c r="C206">
        <v>119</v>
      </c>
      <c r="D206">
        <v>54</v>
      </c>
      <c r="E206">
        <v>13</v>
      </c>
      <c r="F206">
        <v>50</v>
      </c>
      <c r="G206">
        <v>22.3</v>
      </c>
      <c r="H206">
        <v>24</v>
      </c>
      <c r="I206">
        <v>0</v>
      </c>
    </row>
    <row r="207" spans="1:9">
      <c r="A207">
        <v>1</v>
      </c>
      <c r="B207">
        <v>5</v>
      </c>
      <c r="C207">
        <v>144</v>
      </c>
      <c r="D207">
        <v>82</v>
      </c>
      <c r="E207">
        <v>26</v>
      </c>
      <c r="F207">
        <v>285</v>
      </c>
      <c r="G207">
        <v>32</v>
      </c>
      <c r="H207">
        <v>58</v>
      </c>
      <c r="I207">
        <v>1</v>
      </c>
    </row>
    <row r="208" spans="1:9">
      <c r="A208">
        <v>1</v>
      </c>
      <c r="B208">
        <v>3</v>
      </c>
      <c r="C208">
        <v>100</v>
      </c>
      <c r="D208">
        <v>68</v>
      </c>
      <c r="E208">
        <v>23</v>
      </c>
      <c r="F208">
        <v>81</v>
      </c>
      <c r="G208">
        <v>31.6</v>
      </c>
      <c r="H208">
        <v>28</v>
      </c>
      <c r="I208">
        <v>0</v>
      </c>
    </row>
    <row r="209" spans="1:9">
      <c r="A209">
        <v>1</v>
      </c>
      <c r="B209">
        <v>1</v>
      </c>
      <c r="C209">
        <v>100</v>
      </c>
      <c r="D209">
        <v>66</v>
      </c>
      <c r="E209">
        <v>29</v>
      </c>
      <c r="F209">
        <v>196</v>
      </c>
      <c r="G209">
        <v>32</v>
      </c>
      <c r="H209">
        <v>42</v>
      </c>
      <c r="I209">
        <v>0</v>
      </c>
    </row>
    <row r="210" spans="1:9">
      <c r="A210">
        <v>1</v>
      </c>
      <c r="B210">
        <v>1</v>
      </c>
      <c r="C210">
        <v>131</v>
      </c>
      <c r="D210">
        <v>64</v>
      </c>
      <c r="E210">
        <v>14</v>
      </c>
      <c r="F210">
        <v>415</v>
      </c>
      <c r="G210">
        <v>23.7</v>
      </c>
      <c r="H210">
        <v>21</v>
      </c>
      <c r="I210">
        <v>0</v>
      </c>
    </row>
    <row r="211" spans="1:9">
      <c r="A211">
        <v>1</v>
      </c>
      <c r="B211">
        <v>4</v>
      </c>
      <c r="C211">
        <v>116</v>
      </c>
      <c r="D211">
        <v>72</v>
      </c>
      <c r="E211">
        <v>12</v>
      </c>
      <c r="F211">
        <v>87</v>
      </c>
      <c r="G211">
        <v>22.1</v>
      </c>
      <c r="H211">
        <v>37</v>
      </c>
      <c r="I211">
        <v>0</v>
      </c>
    </row>
    <row r="212" spans="1:9">
      <c r="A212">
        <v>1</v>
      </c>
      <c r="B212">
        <v>2</v>
      </c>
      <c r="C212">
        <v>127</v>
      </c>
      <c r="D212">
        <v>58</v>
      </c>
      <c r="E212">
        <v>24</v>
      </c>
      <c r="F212">
        <v>275</v>
      </c>
      <c r="G212">
        <v>27.7</v>
      </c>
      <c r="H212">
        <v>25</v>
      </c>
      <c r="I212">
        <v>0</v>
      </c>
    </row>
    <row r="213" spans="1:9">
      <c r="A213">
        <v>1</v>
      </c>
      <c r="B213">
        <v>3</v>
      </c>
      <c r="C213">
        <v>96</v>
      </c>
      <c r="D213">
        <v>56</v>
      </c>
      <c r="E213">
        <v>34</v>
      </c>
      <c r="F213">
        <v>115</v>
      </c>
      <c r="G213">
        <v>24.7</v>
      </c>
      <c r="H213">
        <v>39</v>
      </c>
      <c r="I213">
        <v>0</v>
      </c>
    </row>
    <row r="214" spans="1:9">
      <c r="A214">
        <v>1</v>
      </c>
      <c r="B214">
        <v>5</v>
      </c>
      <c r="C214">
        <v>136</v>
      </c>
      <c r="D214">
        <v>84</v>
      </c>
      <c r="E214">
        <v>41</v>
      </c>
      <c r="F214">
        <v>88</v>
      </c>
      <c r="G214">
        <v>35</v>
      </c>
      <c r="H214">
        <v>35</v>
      </c>
      <c r="I214">
        <v>1</v>
      </c>
    </row>
    <row r="215" spans="1:9">
      <c r="A215">
        <v>1</v>
      </c>
      <c r="B215">
        <v>2</v>
      </c>
      <c r="C215">
        <v>123</v>
      </c>
      <c r="D215">
        <v>48</v>
      </c>
      <c r="E215">
        <v>32</v>
      </c>
      <c r="F215">
        <v>165</v>
      </c>
      <c r="G215">
        <v>42.1</v>
      </c>
      <c r="H215">
        <v>26</v>
      </c>
      <c r="I215">
        <v>0</v>
      </c>
    </row>
    <row r="216" spans="1:9">
      <c r="A216">
        <v>1</v>
      </c>
      <c r="B216">
        <v>1</v>
      </c>
      <c r="C216">
        <v>172</v>
      </c>
      <c r="D216">
        <v>68</v>
      </c>
      <c r="E216">
        <v>49</v>
      </c>
      <c r="F216">
        <v>579</v>
      </c>
      <c r="G216">
        <v>42.4</v>
      </c>
      <c r="H216">
        <v>28</v>
      </c>
      <c r="I216">
        <v>1</v>
      </c>
    </row>
    <row r="217" spans="1:9">
      <c r="A217">
        <v>1</v>
      </c>
      <c r="B217">
        <v>1</v>
      </c>
      <c r="C217">
        <v>112</v>
      </c>
      <c r="D217">
        <v>72</v>
      </c>
      <c r="E217">
        <v>30</v>
      </c>
      <c r="F217">
        <v>176</v>
      </c>
      <c r="G217">
        <v>34.4</v>
      </c>
      <c r="H217">
        <v>25</v>
      </c>
      <c r="I217">
        <v>0</v>
      </c>
    </row>
    <row r="218" spans="1:9">
      <c r="A218">
        <v>1</v>
      </c>
      <c r="B218">
        <v>1</v>
      </c>
      <c r="C218">
        <v>143</v>
      </c>
      <c r="D218">
        <v>84</v>
      </c>
      <c r="E218">
        <v>23</v>
      </c>
      <c r="F218">
        <v>310</v>
      </c>
      <c r="G218">
        <v>42.4</v>
      </c>
      <c r="H218">
        <v>22</v>
      </c>
      <c r="I218">
        <v>0</v>
      </c>
    </row>
    <row r="219" spans="1:9">
      <c r="A219">
        <v>1</v>
      </c>
      <c r="B219">
        <v>1</v>
      </c>
      <c r="C219">
        <v>143</v>
      </c>
      <c r="D219">
        <v>74</v>
      </c>
      <c r="E219">
        <v>22</v>
      </c>
      <c r="F219">
        <v>61</v>
      </c>
      <c r="G219">
        <v>26.2</v>
      </c>
      <c r="H219">
        <v>21</v>
      </c>
      <c r="I219">
        <v>0</v>
      </c>
    </row>
    <row r="220" spans="1:9">
      <c r="A220">
        <v>1</v>
      </c>
      <c r="B220">
        <v>0</v>
      </c>
      <c r="C220">
        <v>138</v>
      </c>
      <c r="D220">
        <v>60</v>
      </c>
      <c r="E220">
        <v>35</v>
      </c>
      <c r="F220">
        <v>167</v>
      </c>
      <c r="G220">
        <v>34.6</v>
      </c>
      <c r="H220">
        <v>21</v>
      </c>
      <c r="I220">
        <v>1</v>
      </c>
    </row>
    <row r="221" spans="1:9">
      <c r="A221">
        <v>1</v>
      </c>
      <c r="B221">
        <v>3</v>
      </c>
      <c r="C221">
        <v>173</v>
      </c>
      <c r="D221">
        <v>84</v>
      </c>
      <c r="E221">
        <v>33</v>
      </c>
      <c r="F221">
        <v>474</v>
      </c>
      <c r="G221">
        <v>35.700000000000003</v>
      </c>
      <c r="H221">
        <v>22</v>
      </c>
      <c r="I221">
        <v>1</v>
      </c>
    </row>
    <row r="222" spans="1:9">
      <c r="A222">
        <v>1</v>
      </c>
      <c r="B222">
        <v>3</v>
      </c>
      <c r="C222">
        <v>129</v>
      </c>
      <c r="D222">
        <v>64</v>
      </c>
      <c r="E222">
        <v>29</v>
      </c>
      <c r="F222">
        <v>115</v>
      </c>
      <c r="G222">
        <v>26.4</v>
      </c>
      <c r="H222">
        <v>28</v>
      </c>
      <c r="I222">
        <v>1</v>
      </c>
    </row>
    <row r="223" spans="1:9">
      <c r="A223">
        <v>1</v>
      </c>
      <c r="B223">
        <v>1</v>
      </c>
      <c r="C223">
        <v>119</v>
      </c>
      <c r="D223">
        <v>88</v>
      </c>
      <c r="E223">
        <v>41</v>
      </c>
      <c r="F223">
        <v>170</v>
      </c>
      <c r="G223">
        <v>45.3</v>
      </c>
      <c r="H223">
        <v>26</v>
      </c>
      <c r="I223">
        <v>0</v>
      </c>
    </row>
    <row r="224" spans="1:9">
      <c r="A224">
        <v>1</v>
      </c>
      <c r="B224">
        <v>2</v>
      </c>
      <c r="C224">
        <v>94</v>
      </c>
      <c r="D224">
        <v>68</v>
      </c>
      <c r="E224">
        <v>18</v>
      </c>
      <c r="F224">
        <v>76</v>
      </c>
      <c r="G224">
        <v>26</v>
      </c>
      <c r="H224">
        <v>21</v>
      </c>
      <c r="I224">
        <v>0</v>
      </c>
    </row>
    <row r="225" spans="1:9">
      <c r="A225">
        <v>1</v>
      </c>
      <c r="B225">
        <v>0</v>
      </c>
      <c r="C225">
        <v>102</v>
      </c>
      <c r="D225">
        <v>64</v>
      </c>
      <c r="E225">
        <v>46</v>
      </c>
      <c r="F225">
        <v>78</v>
      </c>
      <c r="G225">
        <v>40.6</v>
      </c>
      <c r="H225">
        <v>21</v>
      </c>
      <c r="I225">
        <v>0</v>
      </c>
    </row>
    <row r="226" spans="1:9">
      <c r="A226">
        <v>1</v>
      </c>
      <c r="B226">
        <v>8</v>
      </c>
      <c r="C226">
        <v>151</v>
      </c>
      <c r="D226">
        <v>78</v>
      </c>
      <c r="E226">
        <v>32</v>
      </c>
      <c r="F226">
        <v>210</v>
      </c>
      <c r="G226">
        <v>42.9</v>
      </c>
      <c r="H226">
        <v>36</v>
      </c>
      <c r="I226">
        <v>1</v>
      </c>
    </row>
    <row r="227" spans="1:9">
      <c r="A227">
        <v>1</v>
      </c>
      <c r="B227">
        <v>4</v>
      </c>
      <c r="C227">
        <v>184</v>
      </c>
      <c r="D227">
        <v>78</v>
      </c>
      <c r="E227">
        <v>39</v>
      </c>
      <c r="F227">
        <v>277</v>
      </c>
      <c r="G227">
        <v>37</v>
      </c>
      <c r="H227">
        <v>31</v>
      </c>
      <c r="I227">
        <v>1</v>
      </c>
    </row>
    <row r="228" spans="1:9">
      <c r="A228">
        <v>1</v>
      </c>
      <c r="B228">
        <v>1</v>
      </c>
      <c r="C228">
        <v>181</v>
      </c>
      <c r="D228">
        <v>64</v>
      </c>
      <c r="E228">
        <v>30</v>
      </c>
      <c r="F228">
        <v>180</v>
      </c>
      <c r="G228">
        <v>34.1</v>
      </c>
      <c r="H228">
        <v>38</v>
      </c>
      <c r="I228">
        <v>1</v>
      </c>
    </row>
    <row r="229" spans="1:9">
      <c r="A229">
        <v>1</v>
      </c>
      <c r="B229">
        <v>0</v>
      </c>
      <c r="C229">
        <v>135</v>
      </c>
      <c r="D229">
        <v>94</v>
      </c>
      <c r="E229">
        <v>46</v>
      </c>
      <c r="F229">
        <v>145</v>
      </c>
      <c r="G229">
        <v>40.6</v>
      </c>
      <c r="H229">
        <v>26</v>
      </c>
      <c r="I229">
        <v>0</v>
      </c>
    </row>
    <row r="230" spans="1:9">
      <c r="A230">
        <v>1</v>
      </c>
      <c r="B230">
        <v>1</v>
      </c>
      <c r="C230">
        <v>95</v>
      </c>
      <c r="D230">
        <v>82</v>
      </c>
      <c r="E230">
        <v>25</v>
      </c>
      <c r="F230">
        <v>180</v>
      </c>
      <c r="G230">
        <v>35</v>
      </c>
      <c r="H230">
        <v>43</v>
      </c>
      <c r="I230">
        <v>1</v>
      </c>
    </row>
    <row r="231" spans="1:9">
      <c r="A231">
        <v>1</v>
      </c>
      <c r="B231">
        <v>3</v>
      </c>
      <c r="C231">
        <v>89</v>
      </c>
      <c r="D231">
        <v>74</v>
      </c>
      <c r="E231">
        <v>16</v>
      </c>
      <c r="F231">
        <v>85</v>
      </c>
      <c r="G231">
        <v>30.4</v>
      </c>
      <c r="H231">
        <v>38</v>
      </c>
      <c r="I231">
        <v>0</v>
      </c>
    </row>
    <row r="232" spans="1:9">
      <c r="A232">
        <v>1</v>
      </c>
      <c r="B232">
        <v>1</v>
      </c>
      <c r="C232">
        <v>80</v>
      </c>
      <c r="D232">
        <v>74</v>
      </c>
      <c r="E232">
        <v>11</v>
      </c>
      <c r="F232">
        <v>60</v>
      </c>
      <c r="G232">
        <v>30</v>
      </c>
      <c r="H232">
        <v>22</v>
      </c>
      <c r="I232">
        <v>0</v>
      </c>
    </row>
    <row r="233" spans="1:9">
      <c r="A233">
        <v>1</v>
      </c>
      <c r="B233">
        <v>2</v>
      </c>
      <c r="C233">
        <v>83</v>
      </c>
      <c r="D233">
        <v>66</v>
      </c>
      <c r="E233">
        <v>23</v>
      </c>
      <c r="F233">
        <v>50</v>
      </c>
      <c r="G233">
        <v>32.200000000000003</v>
      </c>
      <c r="H233">
        <v>22</v>
      </c>
      <c r="I233">
        <v>0</v>
      </c>
    </row>
    <row r="234" spans="1:9">
      <c r="A234">
        <v>1</v>
      </c>
      <c r="B234">
        <v>4</v>
      </c>
      <c r="C234">
        <v>117</v>
      </c>
      <c r="D234">
        <v>64</v>
      </c>
      <c r="E234">
        <v>27</v>
      </c>
      <c r="F234">
        <v>120</v>
      </c>
      <c r="G234">
        <v>33.200000000000003</v>
      </c>
      <c r="H234">
        <v>24</v>
      </c>
      <c r="I234">
        <v>0</v>
      </c>
    </row>
    <row r="235" spans="1:9">
      <c r="A235">
        <v>1</v>
      </c>
      <c r="B235">
        <v>0</v>
      </c>
      <c r="C235">
        <v>180</v>
      </c>
      <c r="D235">
        <v>78</v>
      </c>
      <c r="E235">
        <v>63</v>
      </c>
      <c r="F235">
        <v>14</v>
      </c>
      <c r="G235">
        <v>59.4</v>
      </c>
      <c r="H235">
        <v>25</v>
      </c>
      <c r="I235">
        <v>1</v>
      </c>
    </row>
    <row r="236" spans="1:9">
      <c r="A236">
        <v>1</v>
      </c>
      <c r="B236">
        <v>1</v>
      </c>
      <c r="C236">
        <v>100</v>
      </c>
      <c r="D236">
        <v>72</v>
      </c>
      <c r="E236">
        <v>12</v>
      </c>
      <c r="F236">
        <v>70</v>
      </c>
      <c r="G236">
        <v>25.3</v>
      </c>
      <c r="H236">
        <v>28</v>
      </c>
      <c r="I236">
        <v>0</v>
      </c>
    </row>
    <row r="237" spans="1:9">
      <c r="A237">
        <v>1</v>
      </c>
      <c r="B237">
        <v>0</v>
      </c>
      <c r="C237">
        <v>95</v>
      </c>
      <c r="D237">
        <v>80</v>
      </c>
      <c r="E237">
        <v>45</v>
      </c>
      <c r="F237">
        <v>92</v>
      </c>
      <c r="G237">
        <v>36.5</v>
      </c>
      <c r="H237">
        <v>26</v>
      </c>
      <c r="I237">
        <v>0</v>
      </c>
    </row>
    <row r="238" spans="1:9">
      <c r="A238">
        <v>1</v>
      </c>
      <c r="B238">
        <v>0</v>
      </c>
      <c r="C238">
        <v>104</v>
      </c>
      <c r="D238">
        <v>64</v>
      </c>
      <c r="E238">
        <v>37</v>
      </c>
      <c r="F238">
        <v>64</v>
      </c>
      <c r="G238">
        <v>33.6</v>
      </c>
      <c r="H238">
        <v>22</v>
      </c>
      <c r="I238">
        <v>1</v>
      </c>
    </row>
    <row r="239" spans="1:9">
      <c r="A239">
        <v>1</v>
      </c>
      <c r="B239">
        <v>0</v>
      </c>
      <c r="C239">
        <v>120</v>
      </c>
      <c r="D239">
        <v>74</v>
      </c>
      <c r="E239">
        <v>18</v>
      </c>
      <c r="F239">
        <v>63</v>
      </c>
      <c r="G239">
        <v>30.5</v>
      </c>
      <c r="H239">
        <v>26</v>
      </c>
      <c r="I239">
        <v>0</v>
      </c>
    </row>
    <row r="240" spans="1:9">
      <c r="A240">
        <v>1</v>
      </c>
      <c r="B240">
        <v>1</v>
      </c>
      <c r="C240">
        <v>82</v>
      </c>
      <c r="D240">
        <v>64</v>
      </c>
      <c r="E240">
        <v>13</v>
      </c>
      <c r="F240">
        <v>95</v>
      </c>
      <c r="G240">
        <v>21.2</v>
      </c>
      <c r="H240">
        <v>23</v>
      </c>
      <c r="I240">
        <v>0</v>
      </c>
    </row>
    <row r="241" spans="1:9">
      <c r="A241">
        <v>1</v>
      </c>
      <c r="B241">
        <v>0</v>
      </c>
      <c r="C241">
        <v>91</v>
      </c>
      <c r="D241">
        <v>68</v>
      </c>
      <c r="E241">
        <v>32</v>
      </c>
      <c r="F241">
        <v>210</v>
      </c>
      <c r="G241">
        <v>39.9</v>
      </c>
      <c r="H241">
        <v>25</v>
      </c>
      <c r="I241">
        <v>0</v>
      </c>
    </row>
    <row r="242" spans="1:9">
      <c r="A242">
        <v>1</v>
      </c>
      <c r="B242">
        <v>2</v>
      </c>
      <c r="C242">
        <v>100</v>
      </c>
      <c r="D242">
        <v>54</v>
      </c>
      <c r="E242">
        <v>28</v>
      </c>
      <c r="F242">
        <v>105</v>
      </c>
      <c r="G242">
        <v>37.799999999999997</v>
      </c>
      <c r="H242">
        <v>24</v>
      </c>
      <c r="I242">
        <v>0</v>
      </c>
    </row>
    <row r="243" spans="1:9">
      <c r="A243">
        <v>1</v>
      </c>
      <c r="B243">
        <v>5</v>
      </c>
      <c r="C243">
        <v>86</v>
      </c>
      <c r="D243">
        <v>68</v>
      </c>
      <c r="E243">
        <v>28</v>
      </c>
      <c r="F243">
        <v>71</v>
      </c>
      <c r="G243">
        <v>30.2</v>
      </c>
      <c r="H243">
        <v>24</v>
      </c>
      <c r="I243">
        <v>0</v>
      </c>
    </row>
    <row r="244" spans="1:9">
      <c r="A244">
        <v>1</v>
      </c>
      <c r="B244">
        <v>10</v>
      </c>
      <c r="C244">
        <v>148</v>
      </c>
      <c r="D244">
        <v>84</v>
      </c>
      <c r="E244">
        <v>48</v>
      </c>
      <c r="F244">
        <v>237</v>
      </c>
      <c r="G244">
        <v>37.6</v>
      </c>
      <c r="H244">
        <v>51</v>
      </c>
      <c r="I244">
        <v>1</v>
      </c>
    </row>
    <row r="245" spans="1:9">
      <c r="A245">
        <v>1</v>
      </c>
      <c r="B245">
        <v>9</v>
      </c>
      <c r="C245">
        <v>134</v>
      </c>
      <c r="D245">
        <v>74</v>
      </c>
      <c r="E245">
        <v>33</v>
      </c>
      <c r="F245">
        <v>60</v>
      </c>
      <c r="G245">
        <v>25.9</v>
      </c>
      <c r="H245">
        <v>81</v>
      </c>
      <c r="I245">
        <v>0</v>
      </c>
    </row>
    <row r="246" spans="1:9">
      <c r="A246">
        <v>1</v>
      </c>
      <c r="B246">
        <v>9</v>
      </c>
      <c r="C246">
        <v>120</v>
      </c>
      <c r="D246">
        <v>72</v>
      </c>
      <c r="E246">
        <v>22</v>
      </c>
      <c r="F246">
        <v>56</v>
      </c>
      <c r="G246">
        <v>20.8</v>
      </c>
      <c r="H246">
        <v>48</v>
      </c>
      <c r="I246">
        <v>0</v>
      </c>
    </row>
    <row r="247" spans="1:9">
      <c r="A247">
        <v>1</v>
      </c>
      <c r="B247">
        <v>8</v>
      </c>
      <c r="C247">
        <v>74</v>
      </c>
      <c r="D247">
        <v>70</v>
      </c>
      <c r="E247">
        <v>40</v>
      </c>
      <c r="F247">
        <v>49</v>
      </c>
      <c r="G247">
        <v>35.299999999999997</v>
      </c>
      <c r="H247">
        <v>39</v>
      </c>
      <c r="I247">
        <v>0</v>
      </c>
    </row>
    <row r="248" spans="1:9">
      <c r="A248">
        <v>1</v>
      </c>
      <c r="B248">
        <v>0</v>
      </c>
      <c r="C248">
        <v>124</v>
      </c>
      <c r="D248">
        <v>56</v>
      </c>
      <c r="E248">
        <v>13</v>
      </c>
      <c r="F248">
        <v>105</v>
      </c>
      <c r="G248">
        <v>21.8</v>
      </c>
      <c r="H248">
        <v>21</v>
      </c>
      <c r="I248">
        <v>0</v>
      </c>
    </row>
    <row r="249" spans="1:9">
      <c r="A249">
        <v>1</v>
      </c>
      <c r="B249">
        <v>0</v>
      </c>
      <c r="C249">
        <v>74</v>
      </c>
      <c r="D249">
        <v>52</v>
      </c>
      <c r="E249">
        <v>10</v>
      </c>
      <c r="F249">
        <v>36</v>
      </c>
      <c r="G249">
        <v>27.8</v>
      </c>
      <c r="H249">
        <v>22</v>
      </c>
      <c r="I249">
        <v>0</v>
      </c>
    </row>
    <row r="250" spans="1:9">
      <c r="A250">
        <v>1</v>
      </c>
      <c r="B250">
        <v>0</v>
      </c>
      <c r="C250">
        <v>97</v>
      </c>
      <c r="D250">
        <v>64</v>
      </c>
      <c r="E250">
        <v>36</v>
      </c>
      <c r="F250">
        <v>100</v>
      </c>
      <c r="G250">
        <v>36.799999999999997</v>
      </c>
      <c r="H250">
        <v>25</v>
      </c>
      <c r="I250">
        <v>0</v>
      </c>
    </row>
    <row r="251" spans="1:9">
      <c r="A251">
        <v>1</v>
      </c>
      <c r="B251">
        <v>6</v>
      </c>
      <c r="C251">
        <v>154</v>
      </c>
      <c r="D251">
        <v>78</v>
      </c>
      <c r="E251">
        <v>41</v>
      </c>
      <c r="F251">
        <v>140</v>
      </c>
      <c r="G251">
        <v>46.1</v>
      </c>
      <c r="H251">
        <v>27</v>
      </c>
      <c r="I251">
        <v>0</v>
      </c>
    </row>
    <row r="252" spans="1:9">
      <c r="A252">
        <v>1</v>
      </c>
      <c r="B252">
        <v>2</v>
      </c>
      <c r="C252">
        <v>105</v>
      </c>
      <c r="D252">
        <v>80</v>
      </c>
      <c r="E252">
        <v>45</v>
      </c>
      <c r="F252">
        <v>191</v>
      </c>
      <c r="G252">
        <v>33.700000000000003</v>
      </c>
      <c r="H252">
        <v>29</v>
      </c>
      <c r="I252">
        <v>1</v>
      </c>
    </row>
    <row r="253" spans="1:9">
      <c r="A253">
        <v>1</v>
      </c>
      <c r="B253">
        <v>7</v>
      </c>
      <c r="C253">
        <v>114</v>
      </c>
      <c r="D253">
        <v>76</v>
      </c>
      <c r="E253">
        <v>17</v>
      </c>
      <c r="F253">
        <v>110</v>
      </c>
      <c r="G253">
        <v>23.8</v>
      </c>
      <c r="H253">
        <v>31</v>
      </c>
      <c r="I253">
        <v>0</v>
      </c>
    </row>
    <row r="254" spans="1:9">
      <c r="A254">
        <v>1</v>
      </c>
      <c r="B254">
        <v>8</v>
      </c>
      <c r="C254">
        <v>126</v>
      </c>
      <c r="D254">
        <v>74</v>
      </c>
      <c r="E254">
        <v>38</v>
      </c>
      <c r="F254">
        <v>75</v>
      </c>
      <c r="G254">
        <v>25.9</v>
      </c>
      <c r="H254">
        <v>39</v>
      </c>
      <c r="I254">
        <v>0</v>
      </c>
    </row>
    <row r="255" spans="1:9">
      <c r="A255">
        <v>1</v>
      </c>
      <c r="B255">
        <v>3</v>
      </c>
      <c r="C255">
        <v>158</v>
      </c>
      <c r="D255">
        <v>70</v>
      </c>
      <c r="E255">
        <v>30</v>
      </c>
      <c r="F255">
        <v>328</v>
      </c>
      <c r="G255">
        <v>35.5</v>
      </c>
      <c r="H255">
        <v>35</v>
      </c>
      <c r="I255">
        <v>1</v>
      </c>
    </row>
    <row r="256" spans="1:9">
      <c r="A256">
        <v>1</v>
      </c>
      <c r="B256">
        <v>4</v>
      </c>
      <c r="C256">
        <v>85</v>
      </c>
      <c r="D256">
        <v>58</v>
      </c>
      <c r="E256">
        <v>22</v>
      </c>
      <c r="F256">
        <v>49</v>
      </c>
      <c r="G256">
        <v>27.8</v>
      </c>
      <c r="H256">
        <v>28</v>
      </c>
      <c r="I256">
        <v>0</v>
      </c>
    </row>
    <row r="257" spans="1:9">
      <c r="A257">
        <v>1</v>
      </c>
      <c r="B257">
        <v>0</v>
      </c>
      <c r="C257">
        <v>84</v>
      </c>
      <c r="D257">
        <v>82</v>
      </c>
      <c r="E257">
        <v>31</v>
      </c>
      <c r="F257">
        <v>125</v>
      </c>
      <c r="G257">
        <v>38.200000000000003</v>
      </c>
      <c r="H257">
        <v>23</v>
      </c>
      <c r="I257">
        <v>0</v>
      </c>
    </row>
    <row r="258" spans="1:9">
      <c r="A258">
        <v>1</v>
      </c>
      <c r="B258">
        <v>0</v>
      </c>
      <c r="C258">
        <v>135</v>
      </c>
      <c r="D258">
        <v>68</v>
      </c>
      <c r="E258">
        <v>42</v>
      </c>
      <c r="F258">
        <v>250</v>
      </c>
      <c r="G258">
        <v>42.3</v>
      </c>
      <c r="H258">
        <v>24</v>
      </c>
      <c r="I258">
        <v>1</v>
      </c>
    </row>
    <row r="259" spans="1:9">
      <c r="A259">
        <v>1</v>
      </c>
      <c r="B259">
        <v>1</v>
      </c>
      <c r="C259">
        <v>139</v>
      </c>
      <c r="D259">
        <v>62</v>
      </c>
      <c r="E259">
        <v>41</v>
      </c>
      <c r="F259">
        <v>480</v>
      </c>
      <c r="G259">
        <v>40.700000000000003</v>
      </c>
      <c r="H259">
        <v>21</v>
      </c>
      <c r="I259">
        <v>0</v>
      </c>
    </row>
    <row r="260" spans="1:9">
      <c r="A260">
        <v>1</v>
      </c>
      <c r="B260">
        <v>0</v>
      </c>
      <c r="C260">
        <v>173</v>
      </c>
      <c r="D260">
        <v>78</v>
      </c>
      <c r="E260">
        <v>32</v>
      </c>
      <c r="F260">
        <v>265</v>
      </c>
      <c r="G260">
        <v>46.5</v>
      </c>
      <c r="H260">
        <v>58</v>
      </c>
      <c r="I260">
        <v>0</v>
      </c>
    </row>
    <row r="261" spans="1:9">
      <c r="A261">
        <v>1</v>
      </c>
      <c r="B261">
        <v>2</v>
      </c>
      <c r="C261">
        <v>83</v>
      </c>
      <c r="D261">
        <v>65</v>
      </c>
      <c r="E261">
        <v>28</v>
      </c>
      <c r="F261">
        <v>66</v>
      </c>
      <c r="G261">
        <v>36.799999999999997</v>
      </c>
      <c r="H261">
        <v>24</v>
      </c>
      <c r="I261">
        <v>0</v>
      </c>
    </row>
    <row r="262" spans="1:9">
      <c r="A262">
        <v>1</v>
      </c>
      <c r="B262">
        <v>4</v>
      </c>
      <c r="C262">
        <v>125</v>
      </c>
      <c r="D262">
        <v>70</v>
      </c>
      <c r="E262">
        <v>18</v>
      </c>
      <c r="F262">
        <v>122</v>
      </c>
      <c r="G262">
        <v>28.9</v>
      </c>
      <c r="H262">
        <v>45</v>
      </c>
      <c r="I262">
        <v>1</v>
      </c>
    </row>
    <row r="263" spans="1:9">
      <c r="A263">
        <v>1</v>
      </c>
      <c r="B263">
        <v>2</v>
      </c>
      <c r="C263">
        <v>81</v>
      </c>
      <c r="D263">
        <v>72</v>
      </c>
      <c r="E263">
        <v>15</v>
      </c>
      <c r="F263">
        <v>76</v>
      </c>
      <c r="G263">
        <v>30.1</v>
      </c>
      <c r="H263">
        <v>25</v>
      </c>
      <c r="I263">
        <v>0</v>
      </c>
    </row>
    <row r="264" spans="1:9">
      <c r="A264">
        <v>1</v>
      </c>
      <c r="B264">
        <v>7</v>
      </c>
      <c r="C264">
        <v>195</v>
      </c>
      <c r="D264">
        <v>70</v>
      </c>
      <c r="E264">
        <v>33</v>
      </c>
      <c r="F264">
        <v>145</v>
      </c>
      <c r="G264">
        <v>25.1</v>
      </c>
      <c r="H264">
        <v>55</v>
      </c>
      <c r="I264">
        <v>1</v>
      </c>
    </row>
    <row r="265" spans="1:9">
      <c r="A265">
        <v>1</v>
      </c>
      <c r="B265">
        <v>6</v>
      </c>
      <c r="C265">
        <v>154</v>
      </c>
      <c r="D265">
        <v>74</v>
      </c>
      <c r="E265">
        <v>32</v>
      </c>
      <c r="F265">
        <v>193</v>
      </c>
      <c r="G265">
        <v>29.3</v>
      </c>
      <c r="H265">
        <v>39</v>
      </c>
      <c r="I265">
        <v>0</v>
      </c>
    </row>
    <row r="266" spans="1:9">
      <c r="A266">
        <v>1</v>
      </c>
      <c r="B266">
        <v>2</v>
      </c>
      <c r="C266">
        <v>117</v>
      </c>
      <c r="D266">
        <v>90</v>
      </c>
      <c r="E266">
        <v>19</v>
      </c>
      <c r="F266">
        <v>71</v>
      </c>
      <c r="G266">
        <v>25.2</v>
      </c>
      <c r="H266">
        <v>21</v>
      </c>
      <c r="I266">
        <v>0</v>
      </c>
    </row>
    <row r="267" spans="1:9">
      <c r="A267">
        <v>1</v>
      </c>
      <c r="B267">
        <v>7</v>
      </c>
      <c r="C267">
        <v>94</v>
      </c>
      <c r="D267">
        <v>64</v>
      </c>
      <c r="E267">
        <v>25</v>
      </c>
      <c r="F267">
        <v>79</v>
      </c>
      <c r="G267">
        <v>33.299999999999997</v>
      </c>
      <c r="H267">
        <v>41</v>
      </c>
      <c r="I267">
        <v>0</v>
      </c>
    </row>
    <row r="268" spans="1:9">
      <c r="A268">
        <v>1</v>
      </c>
      <c r="B268">
        <v>0</v>
      </c>
      <c r="C268">
        <v>180</v>
      </c>
      <c r="D268">
        <v>90</v>
      </c>
      <c r="E268">
        <v>26</v>
      </c>
      <c r="F268">
        <v>90</v>
      </c>
      <c r="G268">
        <v>36.5</v>
      </c>
      <c r="H268">
        <v>35</v>
      </c>
      <c r="I268">
        <v>1</v>
      </c>
    </row>
    <row r="269" spans="1:9">
      <c r="A269">
        <v>1</v>
      </c>
      <c r="B269">
        <v>1</v>
      </c>
      <c r="C269">
        <v>130</v>
      </c>
      <c r="D269">
        <v>60</v>
      </c>
      <c r="E269">
        <v>23</v>
      </c>
      <c r="F269">
        <v>170</v>
      </c>
      <c r="G269">
        <v>28.6</v>
      </c>
      <c r="H269">
        <v>21</v>
      </c>
      <c r="I269">
        <v>0</v>
      </c>
    </row>
    <row r="270" spans="1:9">
      <c r="A270">
        <v>1</v>
      </c>
      <c r="B270">
        <v>2</v>
      </c>
      <c r="C270">
        <v>84</v>
      </c>
      <c r="D270">
        <v>50</v>
      </c>
      <c r="E270">
        <v>23</v>
      </c>
      <c r="F270">
        <v>76</v>
      </c>
      <c r="G270">
        <v>30.4</v>
      </c>
      <c r="H270">
        <v>21</v>
      </c>
      <c r="I270">
        <v>0</v>
      </c>
    </row>
    <row r="271" spans="1:9">
      <c r="A271">
        <v>1</v>
      </c>
      <c r="B271">
        <v>0</v>
      </c>
      <c r="C271">
        <v>139</v>
      </c>
      <c r="D271">
        <v>62</v>
      </c>
      <c r="E271">
        <v>17</v>
      </c>
      <c r="F271">
        <v>210</v>
      </c>
      <c r="G271">
        <v>22.1</v>
      </c>
      <c r="H271">
        <v>21</v>
      </c>
      <c r="I271">
        <v>0</v>
      </c>
    </row>
    <row r="272" spans="1:9">
      <c r="A272">
        <v>1</v>
      </c>
      <c r="B272">
        <v>3</v>
      </c>
      <c r="C272">
        <v>99</v>
      </c>
      <c r="D272">
        <v>54</v>
      </c>
      <c r="E272">
        <v>19</v>
      </c>
      <c r="F272">
        <v>86</v>
      </c>
      <c r="G272">
        <v>25.6</v>
      </c>
      <c r="H272">
        <v>24</v>
      </c>
      <c r="I272">
        <v>0</v>
      </c>
    </row>
    <row r="273" spans="1:9">
      <c r="A273">
        <v>1</v>
      </c>
      <c r="B273">
        <v>3</v>
      </c>
      <c r="C273">
        <v>163</v>
      </c>
      <c r="D273">
        <v>70</v>
      </c>
      <c r="E273">
        <v>18</v>
      </c>
      <c r="F273">
        <v>105</v>
      </c>
      <c r="G273">
        <v>31.6</v>
      </c>
      <c r="H273">
        <v>28</v>
      </c>
      <c r="I273">
        <v>1</v>
      </c>
    </row>
    <row r="274" spans="1:9">
      <c r="A274">
        <v>1</v>
      </c>
      <c r="B274">
        <v>9</v>
      </c>
      <c r="C274">
        <v>145</v>
      </c>
      <c r="D274">
        <v>88</v>
      </c>
      <c r="E274">
        <v>34</v>
      </c>
      <c r="F274">
        <v>165</v>
      </c>
      <c r="G274">
        <v>30.3</v>
      </c>
      <c r="H274">
        <v>53</v>
      </c>
      <c r="I274">
        <v>1</v>
      </c>
    </row>
    <row r="275" spans="1:9">
      <c r="A275">
        <v>1</v>
      </c>
      <c r="B275">
        <v>6</v>
      </c>
      <c r="C275">
        <v>129</v>
      </c>
      <c r="D275">
        <v>90</v>
      </c>
      <c r="E275">
        <v>7</v>
      </c>
      <c r="F275">
        <v>326</v>
      </c>
      <c r="G275">
        <v>19.600000000000001</v>
      </c>
      <c r="H275">
        <v>60</v>
      </c>
      <c r="I275">
        <v>0</v>
      </c>
    </row>
    <row r="276" spans="1:9">
      <c r="A276">
        <v>1</v>
      </c>
      <c r="B276">
        <v>2</v>
      </c>
      <c r="C276">
        <v>68</v>
      </c>
      <c r="D276">
        <v>70</v>
      </c>
      <c r="E276">
        <v>32</v>
      </c>
      <c r="F276">
        <v>66</v>
      </c>
      <c r="G276">
        <v>25</v>
      </c>
      <c r="H276">
        <v>25</v>
      </c>
      <c r="I276">
        <v>0</v>
      </c>
    </row>
    <row r="277" spans="1:9">
      <c r="A277">
        <v>1</v>
      </c>
      <c r="B277">
        <v>3</v>
      </c>
      <c r="C277">
        <v>124</v>
      </c>
      <c r="D277">
        <v>80</v>
      </c>
      <c r="E277">
        <v>33</v>
      </c>
      <c r="F277">
        <v>130</v>
      </c>
      <c r="G277">
        <v>33.200000000000003</v>
      </c>
      <c r="H277">
        <v>26</v>
      </c>
      <c r="I277">
        <v>0</v>
      </c>
    </row>
    <row r="278" spans="1:9">
      <c r="A278">
        <v>1</v>
      </c>
      <c r="B278">
        <v>1</v>
      </c>
      <c r="C278">
        <v>97</v>
      </c>
      <c r="D278">
        <v>64</v>
      </c>
      <c r="E278">
        <v>19</v>
      </c>
      <c r="F278">
        <v>82</v>
      </c>
      <c r="G278">
        <v>18.2</v>
      </c>
      <c r="H278">
        <v>21</v>
      </c>
      <c r="I278">
        <v>0</v>
      </c>
    </row>
    <row r="279" spans="1:9">
      <c r="A279">
        <v>1</v>
      </c>
      <c r="B279">
        <v>3</v>
      </c>
      <c r="C279">
        <v>116</v>
      </c>
      <c r="D279">
        <v>74</v>
      </c>
      <c r="E279">
        <v>15</v>
      </c>
      <c r="F279">
        <v>105</v>
      </c>
      <c r="G279">
        <v>26.3</v>
      </c>
      <c r="H279">
        <v>24</v>
      </c>
      <c r="I279">
        <v>0</v>
      </c>
    </row>
    <row r="280" spans="1:9">
      <c r="A280">
        <v>1</v>
      </c>
      <c r="B280">
        <v>0</v>
      </c>
      <c r="C280">
        <v>117</v>
      </c>
      <c r="D280">
        <v>66</v>
      </c>
      <c r="E280">
        <v>31</v>
      </c>
      <c r="F280">
        <v>188</v>
      </c>
      <c r="G280">
        <v>30.8</v>
      </c>
      <c r="H280">
        <v>22</v>
      </c>
      <c r="I280">
        <v>0</v>
      </c>
    </row>
    <row r="281" spans="1:9">
      <c r="A281">
        <v>1</v>
      </c>
      <c r="B281">
        <v>2</v>
      </c>
      <c r="C281">
        <v>122</v>
      </c>
      <c r="D281">
        <v>60</v>
      </c>
      <c r="E281">
        <v>18</v>
      </c>
      <c r="F281">
        <v>106</v>
      </c>
      <c r="G281">
        <v>29.8</v>
      </c>
      <c r="H281">
        <v>22</v>
      </c>
      <c r="I281">
        <v>0</v>
      </c>
    </row>
    <row r="282" spans="1:9">
      <c r="A282">
        <v>1</v>
      </c>
      <c r="B282">
        <v>1</v>
      </c>
      <c r="C282">
        <v>86</v>
      </c>
      <c r="D282">
        <v>66</v>
      </c>
      <c r="E282">
        <v>52</v>
      </c>
      <c r="F282">
        <v>65</v>
      </c>
      <c r="G282">
        <v>41.3</v>
      </c>
      <c r="H282">
        <v>29</v>
      </c>
      <c r="I282">
        <v>0</v>
      </c>
    </row>
    <row r="283" spans="1:9">
      <c r="A283">
        <v>1</v>
      </c>
      <c r="B283">
        <v>1</v>
      </c>
      <c r="C283">
        <v>77</v>
      </c>
      <c r="D283">
        <v>56</v>
      </c>
      <c r="E283">
        <v>30</v>
      </c>
      <c r="F283">
        <v>56</v>
      </c>
      <c r="G283">
        <v>33.299999999999997</v>
      </c>
      <c r="H283">
        <v>24</v>
      </c>
      <c r="I283">
        <v>0</v>
      </c>
    </row>
    <row r="284" spans="1:9">
      <c r="A284">
        <v>1</v>
      </c>
      <c r="B284">
        <v>0</v>
      </c>
      <c r="C284">
        <v>127</v>
      </c>
      <c r="D284">
        <v>80</v>
      </c>
      <c r="E284">
        <v>37</v>
      </c>
      <c r="F284">
        <v>210</v>
      </c>
      <c r="G284">
        <v>36.299999999999997</v>
      </c>
      <c r="H284">
        <v>23</v>
      </c>
      <c r="I284">
        <v>0</v>
      </c>
    </row>
    <row r="285" spans="1:9">
      <c r="A285">
        <v>1</v>
      </c>
      <c r="B285">
        <v>3</v>
      </c>
      <c r="C285">
        <v>129</v>
      </c>
      <c r="D285">
        <v>92</v>
      </c>
      <c r="E285">
        <v>49</v>
      </c>
      <c r="F285">
        <v>155</v>
      </c>
      <c r="G285">
        <v>36.4</v>
      </c>
      <c r="H285">
        <v>32</v>
      </c>
      <c r="I285">
        <v>1</v>
      </c>
    </row>
    <row r="286" spans="1:9">
      <c r="A286">
        <v>1</v>
      </c>
      <c r="B286">
        <v>8</v>
      </c>
      <c r="C286">
        <v>100</v>
      </c>
      <c r="D286">
        <v>74</v>
      </c>
      <c r="E286">
        <v>40</v>
      </c>
      <c r="F286">
        <v>215</v>
      </c>
      <c r="G286">
        <v>39.4</v>
      </c>
      <c r="H286">
        <v>43</v>
      </c>
      <c r="I286">
        <v>1</v>
      </c>
    </row>
    <row r="287" spans="1:9">
      <c r="A287">
        <v>1</v>
      </c>
      <c r="B287">
        <v>3</v>
      </c>
      <c r="C287">
        <v>128</v>
      </c>
      <c r="D287">
        <v>72</v>
      </c>
      <c r="E287">
        <v>25</v>
      </c>
      <c r="F287">
        <v>190</v>
      </c>
      <c r="G287">
        <v>32.4</v>
      </c>
      <c r="H287">
        <v>27</v>
      </c>
      <c r="I287">
        <v>1</v>
      </c>
    </row>
    <row r="288" spans="1:9">
      <c r="A288">
        <v>1</v>
      </c>
      <c r="B288">
        <v>4</v>
      </c>
      <c r="C288">
        <v>84</v>
      </c>
      <c r="D288">
        <v>90</v>
      </c>
      <c r="E288">
        <v>23</v>
      </c>
      <c r="F288">
        <v>56</v>
      </c>
      <c r="G288">
        <v>39.5</v>
      </c>
      <c r="H288">
        <v>25</v>
      </c>
      <c r="I288">
        <v>0</v>
      </c>
    </row>
    <row r="289" spans="1:9">
      <c r="A289">
        <v>1</v>
      </c>
      <c r="B289">
        <v>1</v>
      </c>
      <c r="C289">
        <v>88</v>
      </c>
      <c r="D289">
        <v>78</v>
      </c>
      <c r="E289">
        <v>29</v>
      </c>
      <c r="F289">
        <v>76</v>
      </c>
      <c r="G289">
        <v>32</v>
      </c>
      <c r="H289">
        <v>29</v>
      </c>
      <c r="I289">
        <v>0</v>
      </c>
    </row>
    <row r="290" spans="1:9">
      <c r="A290">
        <v>1</v>
      </c>
      <c r="B290">
        <v>8</v>
      </c>
      <c r="C290">
        <v>186</v>
      </c>
      <c r="D290">
        <v>90</v>
      </c>
      <c r="E290">
        <v>35</v>
      </c>
      <c r="F290">
        <v>225</v>
      </c>
      <c r="G290">
        <v>34.5</v>
      </c>
      <c r="H290">
        <v>37</v>
      </c>
      <c r="I290">
        <v>1</v>
      </c>
    </row>
    <row r="291" spans="1:9">
      <c r="A291">
        <v>1</v>
      </c>
      <c r="B291">
        <v>5</v>
      </c>
      <c r="C291">
        <v>187</v>
      </c>
      <c r="D291">
        <v>76</v>
      </c>
      <c r="E291">
        <v>27</v>
      </c>
      <c r="F291">
        <v>207</v>
      </c>
      <c r="G291">
        <v>43.6</v>
      </c>
      <c r="H291">
        <v>53</v>
      </c>
      <c r="I291">
        <v>1</v>
      </c>
    </row>
    <row r="292" spans="1:9">
      <c r="A292">
        <v>1</v>
      </c>
      <c r="B292">
        <v>4</v>
      </c>
      <c r="C292">
        <v>131</v>
      </c>
      <c r="D292">
        <v>68</v>
      </c>
      <c r="E292">
        <v>21</v>
      </c>
      <c r="F292">
        <v>166</v>
      </c>
      <c r="G292">
        <v>33.1</v>
      </c>
      <c r="H292">
        <v>28</v>
      </c>
      <c r="I292">
        <v>0</v>
      </c>
    </row>
    <row r="293" spans="1:9">
      <c r="A293">
        <v>1</v>
      </c>
      <c r="B293">
        <v>1</v>
      </c>
      <c r="C293">
        <v>164</v>
      </c>
      <c r="D293">
        <v>82</v>
      </c>
      <c r="E293">
        <v>43</v>
      </c>
      <c r="F293">
        <v>67</v>
      </c>
      <c r="G293">
        <v>32.799999999999997</v>
      </c>
      <c r="H293">
        <v>50</v>
      </c>
      <c r="I293">
        <v>0</v>
      </c>
    </row>
    <row r="294" spans="1:9">
      <c r="A294">
        <v>1</v>
      </c>
      <c r="B294">
        <v>3</v>
      </c>
      <c r="C294">
        <v>84</v>
      </c>
      <c r="D294">
        <v>68</v>
      </c>
      <c r="E294">
        <v>30</v>
      </c>
      <c r="F294">
        <v>106</v>
      </c>
      <c r="G294">
        <v>31.9</v>
      </c>
      <c r="H294">
        <v>25</v>
      </c>
      <c r="I294">
        <v>0</v>
      </c>
    </row>
    <row r="295" spans="1:9">
      <c r="A295">
        <v>1</v>
      </c>
      <c r="B295">
        <v>1</v>
      </c>
      <c r="C295">
        <v>88</v>
      </c>
      <c r="D295">
        <v>62</v>
      </c>
      <c r="E295">
        <v>24</v>
      </c>
      <c r="F295">
        <v>44</v>
      </c>
      <c r="G295">
        <v>29.9</v>
      </c>
      <c r="H295">
        <v>23</v>
      </c>
      <c r="I295">
        <v>0</v>
      </c>
    </row>
    <row r="296" spans="1:9">
      <c r="A296">
        <v>1</v>
      </c>
      <c r="B296">
        <v>1</v>
      </c>
      <c r="C296">
        <v>84</v>
      </c>
      <c r="D296">
        <v>64</v>
      </c>
      <c r="E296">
        <v>23</v>
      </c>
      <c r="F296">
        <v>115</v>
      </c>
      <c r="G296">
        <v>36.9</v>
      </c>
      <c r="H296">
        <v>28</v>
      </c>
      <c r="I296">
        <v>0</v>
      </c>
    </row>
    <row r="297" spans="1:9">
      <c r="A297">
        <v>1</v>
      </c>
      <c r="B297">
        <v>7</v>
      </c>
      <c r="C297">
        <v>124</v>
      </c>
      <c r="D297">
        <v>70</v>
      </c>
      <c r="E297">
        <v>33</v>
      </c>
      <c r="F297">
        <v>215</v>
      </c>
      <c r="G297">
        <v>25.5</v>
      </c>
      <c r="H297">
        <v>37</v>
      </c>
      <c r="I297">
        <v>0</v>
      </c>
    </row>
    <row r="298" spans="1:9">
      <c r="A298">
        <v>1</v>
      </c>
      <c r="B298">
        <v>0</v>
      </c>
      <c r="C298">
        <v>198</v>
      </c>
      <c r="D298">
        <v>66</v>
      </c>
      <c r="E298">
        <v>32</v>
      </c>
      <c r="F298">
        <v>274</v>
      </c>
      <c r="G298">
        <v>41.3</v>
      </c>
      <c r="H298">
        <v>28</v>
      </c>
      <c r="I298">
        <v>1</v>
      </c>
    </row>
    <row r="299" spans="1:9">
      <c r="A299">
        <v>1</v>
      </c>
      <c r="B299">
        <v>1</v>
      </c>
      <c r="C299">
        <v>87</v>
      </c>
      <c r="D299">
        <v>68</v>
      </c>
      <c r="E299">
        <v>34</v>
      </c>
      <c r="F299">
        <v>77</v>
      </c>
      <c r="G299">
        <v>37.6</v>
      </c>
      <c r="H299">
        <v>24</v>
      </c>
      <c r="I299">
        <v>0</v>
      </c>
    </row>
    <row r="300" spans="1:9">
      <c r="A300">
        <v>1</v>
      </c>
      <c r="B300">
        <v>6</v>
      </c>
      <c r="C300">
        <v>99</v>
      </c>
      <c r="D300">
        <v>60</v>
      </c>
      <c r="E300">
        <v>19</v>
      </c>
      <c r="F300">
        <v>54</v>
      </c>
      <c r="G300">
        <v>26.9</v>
      </c>
      <c r="H300">
        <v>32</v>
      </c>
      <c r="I300">
        <v>0</v>
      </c>
    </row>
    <row r="301" spans="1:9">
      <c r="A301">
        <v>1</v>
      </c>
      <c r="B301">
        <v>2</v>
      </c>
      <c r="C301">
        <v>95</v>
      </c>
      <c r="D301">
        <v>54</v>
      </c>
      <c r="E301">
        <v>14</v>
      </c>
      <c r="F301">
        <v>88</v>
      </c>
      <c r="G301">
        <v>26.1</v>
      </c>
      <c r="H301">
        <v>22</v>
      </c>
      <c r="I301">
        <v>0</v>
      </c>
    </row>
    <row r="302" spans="1:9">
      <c r="A302">
        <v>1</v>
      </c>
      <c r="B302">
        <v>1</v>
      </c>
      <c r="C302">
        <v>99</v>
      </c>
      <c r="D302">
        <v>72</v>
      </c>
      <c r="E302">
        <v>30</v>
      </c>
      <c r="F302">
        <v>18</v>
      </c>
      <c r="G302">
        <v>38.6</v>
      </c>
      <c r="H302">
        <v>21</v>
      </c>
      <c r="I302">
        <v>0</v>
      </c>
    </row>
    <row r="303" spans="1:9">
      <c r="A303">
        <v>1</v>
      </c>
      <c r="B303">
        <v>6</v>
      </c>
      <c r="C303">
        <v>92</v>
      </c>
      <c r="D303">
        <v>62</v>
      </c>
      <c r="E303">
        <v>32</v>
      </c>
      <c r="F303">
        <v>126</v>
      </c>
      <c r="G303">
        <v>32</v>
      </c>
      <c r="H303">
        <v>46</v>
      </c>
      <c r="I303">
        <v>0</v>
      </c>
    </row>
    <row r="304" spans="1:9">
      <c r="A304">
        <v>1</v>
      </c>
      <c r="B304">
        <v>4</v>
      </c>
      <c r="C304">
        <v>154</v>
      </c>
      <c r="D304">
        <v>72</v>
      </c>
      <c r="E304">
        <v>29</v>
      </c>
      <c r="F304">
        <v>126</v>
      </c>
      <c r="G304">
        <v>31.3</v>
      </c>
      <c r="H304">
        <v>37</v>
      </c>
      <c r="I304">
        <v>0</v>
      </c>
    </row>
    <row r="305" spans="1:9">
      <c r="A305">
        <v>1</v>
      </c>
      <c r="B305">
        <v>0</v>
      </c>
      <c r="C305">
        <v>121</v>
      </c>
      <c r="D305">
        <v>66</v>
      </c>
      <c r="E305">
        <v>30</v>
      </c>
      <c r="F305">
        <v>165</v>
      </c>
      <c r="G305">
        <v>34.299999999999997</v>
      </c>
      <c r="H305">
        <v>33</v>
      </c>
      <c r="I305">
        <v>1</v>
      </c>
    </row>
    <row r="306" spans="1:9">
      <c r="A306">
        <v>1</v>
      </c>
      <c r="B306">
        <v>3</v>
      </c>
      <c r="C306">
        <v>111</v>
      </c>
      <c r="D306">
        <v>58</v>
      </c>
      <c r="E306">
        <v>31</v>
      </c>
      <c r="F306">
        <v>44</v>
      </c>
      <c r="G306">
        <v>29.5</v>
      </c>
      <c r="H306">
        <v>22</v>
      </c>
      <c r="I306">
        <v>0</v>
      </c>
    </row>
    <row r="307" spans="1:9">
      <c r="A307">
        <v>1</v>
      </c>
      <c r="B307">
        <v>2</v>
      </c>
      <c r="C307">
        <v>98</v>
      </c>
      <c r="D307">
        <v>60</v>
      </c>
      <c r="E307">
        <v>17</v>
      </c>
      <c r="F307">
        <v>120</v>
      </c>
      <c r="G307">
        <v>34.700000000000003</v>
      </c>
      <c r="H307">
        <v>22</v>
      </c>
      <c r="I307">
        <v>0</v>
      </c>
    </row>
    <row r="308" spans="1:9">
      <c r="A308">
        <v>1</v>
      </c>
      <c r="B308">
        <v>1</v>
      </c>
      <c r="C308">
        <v>143</v>
      </c>
      <c r="D308">
        <v>86</v>
      </c>
      <c r="E308">
        <v>30</v>
      </c>
      <c r="F308">
        <v>330</v>
      </c>
      <c r="G308">
        <v>30.1</v>
      </c>
      <c r="H308">
        <v>23</v>
      </c>
      <c r="I308">
        <v>0</v>
      </c>
    </row>
    <row r="309" spans="1:9">
      <c r="A309">
        <v>1</v>
      </c>
      <c r="B309">
        <v>1</v>
      </c>
      <c r="C309">
        <v>119</v>
      </c>
      <c r="D309">
        <v>44</v>
      </c>
      <c r="E309">
        <v>47</v>
      </c>
      <c r="F309">
        <v>63</v>
      </c>
      <c r="G309">
        <v>35.5</v>
      </c>
      <c r="H309">
        <v>25</v>
      </c>
      <c r="I309">
        <v>0</v>
      </c>
    </row>
    <row r="310" spans="1:9">
      <c r="A310">
        <v>1</v>
      </c>
      <c r="B310">
        <v>6</v>
      </c>
      <c r="C310">
        <v>108</v>
      </c>
      <c r="D310">
        <v>44</v>
      </c>
      <c r="E310">
        <v>20</v>
      </c>
      <c r="F310">
        <v>130</v>
      </c>
      <c r="G310">
        <v>24</v>
      </c>
      <c r="H310">
        <v>35</v>
      </c>
      <c r="I310">
        <v>0</v>
      </c>
    </row>
    <row r="311" spans="1:9">
      <c r="A311">
        <v>1</v>
      </c>
      <c r="B311">
        <v>8</v>
      </c>
      <c r="C311">
        <v>124</v>
      </c>
      <c r="D311">
        <v>76</v>
      </c>
      <c r="E311">
        <v>24</v>
      </c>
      <c r="F311">
        <v>600</v>
      </c>
      <c r="G311">
        <v>28.7</v>
      </c>
      <c r="H311">
        <v>52</v>
      </c>
      <c r="I311">
        <v>1</v>
      </c>
    </row>
    <row r="312" spans="1:9">
      <c r="A312">
        <v>1</v>
      </c>
      <c r="B312">
        <v>3</v>
      </c>
      <c r="C312">
        <v>176</v>
      </c>
      <c r="D312">
        <v>86</v>
      </c>
      <c r="E312">
        <v>27</v>
      </c>
      <c r="F312">
        <v>156</v>
      </c>
      <c r="G312">
        <v>33.299999999999997</v>
      </c>
      <c r="H312">
        <v>52</v>
      </c>
      <c r="I312">
        <v>1</v>
      </c>
    </row>
    <row r="313" spans="1:9">
      <c r="A313">
        <v>1</v>
      </c>
      <c r="B313">
        <v>2</v>
      </c>
      <c r="C313">
        <v>112</v>
      </c>
      <c r="D313">
        <v>78</v>
      </c>
      <c r="E313">
        <v>50</v>
      </c>
      <c r="F313">
        <v>140</v>
      </c>
      <c r="G313">
        <v>39.4</v>
      </c>
      <c r="H313">
        <v>24</v>
      </c>
      <c r="I313">
        <v>0</v>
      </c>
    </row>
    <row r="314" spans="1:9">
      <c r="A314">
        <v>1</v>
      </c>
      <c r="B314">
        <v>2</v>
      </c>
      <c r="C314">
        <v>82</v>
      </c>
      <c r="D314">
        <v>52</v>
      </c>
      <c r="E314">
        <v>22</v>
      </c>
      <c r="F314">
        <v>115</v>
      </c>
      <c r="G314">
        <v>28.5</v>
      </c>
      <c r="H314">
        <v>25</v>
      </c>
      <c r="I314">
        <v>0</v>
      </c>
    </row>
    <row r="315" spans="1:9">
      <c r="A315">
        <v>1</v>
      </c>
      <c r="B315">
        <v>6</v>
      </c>
      <c r="C315">
        <v>123</v>
      </c>
      <c r="D315">
        <v>72</v>
      </c>
      <c r="E315">
        <v>45</v>
      </c>
      <c r="F315">
        <v>230</v>
      </c>
      <c r="G315">
        <v>33.6</v>
      </c>
      <c r="H315">
        <v>34</v>
      </c>
      <c r="I315">
        <v>0</v>
      </c>
    </row>
    <row r="316" spans="1:9">
      <c r="A316">
        <v>1</v>
      </c>
      <c r="B316">
        <v>0</v>
      </c>
      <c r="C316">
        <v>188</v>
      </c>
      <c r="D316">
        <v>82</v>
      </c>
      <c r="E316">
        <v>14</v>
      </c>
      <c r="F316">
        <v>185</v>
      </c>
      <c r="G316">
        <v>32</v>
      </c>
      <c r="H316">
        <v>22</v>
      </c>
      <c r="I316">
        <v>1</v>
      </c>
    </row>
    <row r="317" spans="1:9">
      <c r="A317">
        <v>1</v>
      </c>
      <c r="B317">
        <v>1</v>
      </c>
      <c r="C317">
        <v>89</v>
      </c>
      <c r="D317">
        <v>24</v>
      </c>
      <c r="E317">
        <v>19</v>
      </c>
      <c r="F317">
        <v>25</v>
      </c>
      <c r="G317">
        <v>27.8</v>
      </c>
      <c r="H317">
        <v>21</v>
      </c>
      <c r="I317">
        <v>0</v>
      </c>
    </row>
    <row r="318" spans="1:9">
      <c r="A318">
        <v>1</v>
      </c>
      <c r="B318">
        <v>1</v>
      </c>
      <c r="C318">
        <v>109</v>
      </c>
      <c r="D318">
        <v>38</v>
      </c>
      <c r="E318">
        <v>18</v>
      </c>
      <c r="F318">
        <v>120</v>
      </c>
      <c r="G318">
        <v>23.1</v>
      </c>
      <c r="H318">
        <v>26</v>
      </c>
      <c r="I318">
        <v>0</v>
      </c>
    </row>
    <row r="319" spans="1:9">
      <c r="A319">
        <v>1</v>
      </c>
      <c r="B319">
        <v>7</v>
      </c>
      <c r="C319">
        <v>150</v>
      </c>
      <c r="D319">
        <v>78</v>
      </c>
      <c r="E319">
        <v>29</v>
      </c>
      <c r="F319">
        <v>126</v>
      </c>
      <c r="G319">
        <v>35.200000000000003</v>
      </c>
      <c r="H319">
        <v>54</v>
      </c>
      <c r="I319">
        <v>1</v>
      </c>
    </row>
    <row r="320" spans="1:9">
      <c r="A320">
        <v>1</v>
      </c>
      <c r="B320">
        <v>1</v>
      </c>
      <c r="C320">
        <v>181</v>
      </c>
      <c r="D320">
        <v>78</v>
      </c>
      <c r="E320">
        <v>42</v>
      </c>
      <c r="F320">
        <v>293</v>
      </c>
      <c r="G320">
        <v>40</v>
      </c>
      <c r="H320">
        <v>22</v>
      </c>
      <c r="I320">
        <v>1</v>
      </c>
    </row>
    <row r="321" spans="1:9">
      <c r="A321">
        <v>1</v>
      </c>
      <c r="B321">
        <v>1</v>
      </c>
      <c r="C321">
        <v>92</v>
      </c>
      <c r="D321">
        <v>62</v>
      </c>
      <c r="E321">
        <v>25</v>
      </c>
      <c r="F321">
        <v>41</v>
      </c>
      <c r="G321">
        <v>19.5</v>
      </c>
      <c r="H321">
        <v>25</v>
      </c>
      <c r="I321">
        <v>0</v>
      </c>
    </row>
    <row r="322" spans="1:9">
      <c r="A322">
        <v>1</v>
      </c>
      <c r="B322">
        <v>0</v>
      </c>
      <c r="C322">
        <v>152</v>
      </c>
      <c r="D322">
        <v>82</v>
      </c>
      <c r="E322">
        <v>39</v>
      </c>
      <c r="F322">
        <v>272</v>
      </c>
      <c r="G322">
        <v>41.5</v>
      </c>
      <c r="H322">
        <v>27</v>
      </c>
      <c r="I322">
        <v>0</v>
      </c>
    </row>
    <row r="323" spans="1:9">
      <c r="A323">
        <v>1</v>
      </c>
      <c r="B323">
        <v>1</v>
      </c>
      <c r="C323">
        <v>111</v>
      </c>
      <c r="D323">
        <v>62</v>
      </c>
      <c r="E323">
        <v>13</v>
      </c>
      <c r="F323">
        <v>182</v>
      </c>
      <c r="G323">
        <v>24</v>
      </c>
      <c r="H323">
        <v>23</v>
      </c>
      <c r="I323">
        <v>0</v>
      </c>
    </row>
    <row r="324" spans="1:9">
      <c r="A324">
        <v>1</v>
      </c>
      <c r="B324">
        <v>3</v>
      </c>
      <c r="C324">
        <v>106</v>
      </c>
      <c r="D324">
        <v>54</v>
      </c>
      <c r="E324">
        <v>21</v>
      </c>
      <c r="F324">
        <v>158</v>
      </c>
      <c r="G324">
        <v>30.9</v>
      </c>
      <c r="H324">
        <v>24</v>
      </c>
      <c r="I324">
        <v>0</v>
      </c>
    </row>
    <row r="325" spans="1:9">
      <c r="A325">
        <v>1</v>
      </c>
      <c r="B325">
        <v>3</v>
      </c>
      <c r="C325">
        <v>174</v>
      </c>
      <c r="D325">
        <v>58</v>
      </c>
      <c r="E325">
        <v>22</v>
      </c>
      <c r="F325">
        <v>194</v>
      </c>
      <c r="G325">
        <v>32.9</v>
      </c>
      <c r="H325">
        <v>36</v>
      </c>
      <c r="I325">
        <v>1</v>
      </c>
    </row>
    <row r="326" spans="1:9">
      <c r="A326">
        <v>1</v>
      </c>
      <c r="B326">
        <v>7</v>
      </c>
      <c r="C326">
        <v>168</v>
      </c>
      <c r="D326">
        <v>88</v>
      </c>
      <c r="E326">
        <v>42</v>
      </c>
      <c r="F326">
        <v>321</v>
      </c>
      <c r="G326">
        <v>38.200000000000003</v>
      </c>
      <c r="H326">
        <v>40</v>
      </c>
      <c r="I326">
        <v>1</v>
      </c>
    </row>
    <row r="327" spans="1:9">
      <c r="A327">
        <v>1</v>
      </c>
      <c r="B327">
        <v>11</v>
      </c>
      <c r="C327">
        <v>138</v>
      </c>
      <c r="D327">
        <v>74</v>
      </c>
      <c r="E327">
        <v>26</v>
      </c>
      <c r="F327">
        <v>144</v>
      </c>
      <c r="G327">
        <v>36.1</v>
      </c>
      <c r="H327">
        <v>50</v>
      </c>
      <c r="I327">
        <v>1</v>
      </c>
    </row>
    <row r="328" spans="1:9">
      <c r="A328">
        <v>1</v>
      </c>
      <c r="B328">
        <v>2</v>
      </c>
      <c r="C328">
        <v>68</v>
      </c>
      <c r="D328">
        <v>62</v>
      </c>
      <c r="E328">
        <v>13</v>
      </c>
      <c r="F328">
        <v>15</v>
      </c>
      <c r="G328">
        <v>20.100000000000001</v>
      </c>
      <c r="H328">
        <v>23</v>
      </c>
      <c r="I328">
        <v>0</v>
      </c>
    </row>
    <row r="329" spans="1:9">
      <c r="A329">
        <v>1</v>
      </c>
      <c r="B329">
        <v>2</v>
      </c>
      <c r="C329">
        <v>112</v>
      </c>
      <c r="D329">
        <v>86</v>
      </c>
      <c r="E329">
        <v>42</v>
      </c>
      <c r="F329">
        <v>160</v>
      </c>
      <c r="G329">
        <v>38.4</v>
      </c>
      <c r="H329">
        <v>28</v>
      </c>
      <c r="I329">
        <v>0</v>
      </c>
    </row>
    <row r="330" spans="1:9">
      <c r="A330">
        <v>1</v>
      </c>
      <c r="B330">
        <v>0</v>
      </c>
      <c r="C330">
        <v>94</v>
      </c>
      <c r="D330">
        <v>70</v>
      </c>
      <c r="E330">
        <v>27</v>
      </c>
      <c r="F330">
        <v>115</v>
      </c>
      <c r="G330">
        <v>43.5</v>
      </c>
      <c r="H330">
        <v>21</v>
      </c>
      <c r="I330">
        <v>0</v>
      </c>
    </row>
    <row r="331" spans="1:9">
      <c r="A331">
        <v>1</v>
      </c>
      <c r="B331">
        <v>4</v>
      </c>
      <c r="C331">
        <v>90</v>
      </c>
      <c r="D331">
        <v>88</v>
      </c>
      <c r="E331">
        <v>47</v>
      </c>
      <c r="F331">
        <v>54</v>
      </c>
      <c r="G331">
        <v>37.700000000000003</v>
      </c>
      <c r="H331">
        <v>29</v>
      </c>
      <c r="I331">
        <v>0</v>
      </c>
    </row>
    <row r="332" spans="1:9">
      <c r="A332">
        <v>1</v>
      </c>
      <c r="B332">
        <v>0</v>
      </c>
      <c r="C332">
        <v>102</v>
      </c>
      <c r="D332">
        <v>78</v>
      </c>
      <c r="E332">
        <v>40</v>
      </c>
      <c r="F332">
        <v>90</v>
      </c>
      <c r="G332">
        <v>34.5</v>
      </c>
      <c r="H332">
        <v>24</v>
      </c>
      <c r="I332">
        <v>0</v>
      </c>
    </row>
    <row r="333" spans="1:9">
      <c r="A333">
        <v>1</v>
      </c>
      <c r="B333">
        <v>1</v>
      </c>
      <c r="C333">
        <v>128</v>
      </c>
      <c r="D333">
        <v>82</v>
      </c>
      <c r="E333">
        <v>17</v>
      </c>
      <c r="F333">
        <v>183</v>
      </c>
      <c r="G333">
        <v>27.5</v>
      </c>
      <c r="H333">
        <v>22</v>
      </c>
      <c r="I333">
        <v>0</v>
      </c>
    </row>
    <row r="334" spans="1:9">
      <c r="A334">
        <v>1</v>
      </c>
      <c r="B334">
        <v>2</v>
      </c>
      <c r="C334">
        <v>94</v>
      </c>
      <c r="D334">
        <v>76</v>
      </c>
      <c r="E334">
        <v>18</v>
      </c>
      <c r="F334">
        <v>66</v>
      </c>
      <c r="G334">
        <v>31.6</v>
      </c>
      <c r="H334">
        <v>23</v>
      </c>
      <c r="I334">
        <v>0</v>
      </c>
    </row>
    <row r="335" spans="1:9">
      <c r="A335">
        <v>1</v>
      </c>
      <c r="B335">
        <v>7</v>
      </c>
      <c r="C335">
        <v>97</v>
      </c>
      <c r="D335">
        <v>76</v>
      </c>
      <c r="E335">
        <v>32</v>
      </c>
      <c r="F335">
        <v>91</v>
      </c>
      <c r="G335">
        <v>40.9</v>
      </c>
      <c r="H335">
        <v>32</v>
      </c>
      <c r="I335">
        <v>1</v>
      </c>
    </row>
    <row r="336" spans="1:9">
      <c r="A336">
        <v>1</v>
      </c>
      <c r="B336">
        <v>1</v>
      </c>
      <c r="C336">
        <v>100</v>
      </c>
      <c r="D336">
        <v>74</v>
      </c>
      <c r="E336">
        <v>12</v>
      </c>
      <c r="F336">
        <v>46</v>
      </c>
      <c r="G336">
        <v>19.5</v>
      </c>
      <c r="H336">
        <v>28</v>
      </c>
      <c r="I336">
        <v>0</v>
      </c>
    </row>
    <row r="337" spans="1:9">
      <c r="A337">
        <v>1</v>
      </c>
      <c r="B337">
        <v>0</v>
      </c>
      <c r="C337">
        <v>102</v>
      </c>
      <c r="D337">
        <v>86</v>
      </c>
      <c r="E337">
        <v>17</v>
      </c>
      <c r="F337">
        <v>105</v>
      </c>
      <c r="G337">
        <v>29.3</v>
      </c>
      <c r="H337">
        <v>27</v>
      </c>
      <c r="I337">
        <v>0</v>
      </c>
    </row>
    <row r="338" spans="1:9">
      <c r="A338">
        <v>1</v>
      </c>
      <c r="B338">
        <v>3</v>
      </c>
      <c r="C338">
        <v>103</v>
      </c>
      <c r="D338">
        <v>72</v>
      </c>
      <c r="E338">
        <v>30</v>
      </c>
      <c r="F338">
        <v>152</v>
      </c>
      <c r="G338">
        <v>27.6</v>
      </c>
      <c r="H338">
        <v>27</v>
      </c>
      <c r="I338">
        <v>0</v>
      </c>
    </row>
    <row r="339" spans="1:9">
      <c r="A339">
        <v>1</v>
      </c>
      <c r="B339">
        <v>2</v>
      </c>
      <c r="C339">
        <v>157</v>
      </c>
      <c r="D339">
        <v>74</v>
      </c>
      <c r="E339">
        <v>35</v>
      </c>
      <c r="F339">
        <v>440</v>
      </c>
      <c r="G339">
        <v>39.4</v>
      </c>
      <c r="H339">
        <v>30</v>
      </c>
      <c r="I339">
        <v>0</v>
      </c>
    </row>
    <row r="340" spans="1:9">
      <c r="A340">
        <v>1</v>
      </c>
      <c r="B340">
        <v>1</v>
      </c>
      <c r="C340">
        <v>167</v>
      </c>
      <c r="D340">
        <v>74</v>
      </c>
      <c r="E340">
        <v>17</v>
      </c>
      <c r="F340">
        <v>144</v>
      </c>
      <c r="G340">
        <v>23.4</v>
      </c>
      <c r="H340">
        <v>33</v>
      </c>
      <c r="I340">
        <v>1</v>
      </c>
    </row>
    <row r="341" spans="1:9">
      <c r="A341">
        <v>1</v>
      </c>
      <c r="B341">
        <v>0</v>
      </c>
      <c r="C341">
        <v>179</v>
      </c>
      <c r="D341">
        <v>50</v>
      </c>
      <c r="E341">
        <v>36</v>
      </c>
      <c r="F341">
        <v>159</v>
      </c>
      <c r="G341">
        <v>37.799999999999997</v>
      </c>
      <c r="H341">
        <v>22</v>
      </c>
      <c r="I341">
        <v>1</v>
      </c>
    </row>
    <row r="342" spans="1:9">
      <c r="A342">
        <v>1</v>
      </c>
      <c r="B342">
        <v>11</v>
      </c>
      <c r="C342">
        <v>136</v>
      </c>
      <c r="D342">
        <v>84</v>
      </c>
      <c r="E342">
        <v>35</v>
      </c>
      <c r="F342">
        <v>130</v>
      </c>
      <c r="G342">
        <v>28.3</v>
      </c>
      <c r="H342">
        <v>42</v>
      </c>
      <c r="I342">
        <v>1</v>
      </c>
    </row>
    <row r="343" spans="1:9">
      <c r="A343">
        <v>1</v>
      </c>
      <c r="B343">
        <v>1</v>
      </c>
      <c r="C343">
        <v>91</v>
      </c>
      <c r="D343">
        <v>54</v>
      </c>
      <c r="E343">
        <v>25</v>
      </c>
      <c r="F343">
        <v>100</v>
      </c>
      <c r="G343">
        <v>25.2</v>
      </c>
      <c r="H343">
        <v>23</v>
      </c>
      <c r="I343">
        <v>0</v>
      </c>
    </row>
    <row r="344" spans="1:9">
      <c r="A344">
        <v>1</v>
      </c>
      <c r="B344">
        <v>1</v>
      </c>
      <c r="C344">
        <v>117</v>
      </c>
      <c r="D344">
        <v>60</v>
      </c>
      <c r="E344">
        <v>23</v>
      </c>
      <c r="F344">
        <v>106</v>
      </c>
      <c r="G344">
        <v>33.799999999999997</v>
      </c>
      <c r="H344">
        <v>27</v>
      </c>
      <c r="I344">
        <v>0</v>
      </c>
    </row>
    <row r="345" spans="1:9">
      <c r="A345">
        <v>1</v>
      </c>
      <c r="B345">
        <v>5</v>
      </c>
      <c r="C345">
        <v>123</v>
      </c>
      <c r="D345">
        <v>74</v>
      </c>
      <c r="E345">
        <v>40</v>
      </c>
      <c r="F345">
        <v>77</v>
      </c>
      <c r="G345">
        <v>34.1</v>
      </c>
      <c r="H345">
        <v>28</v>
      </c>
      <c r="I345">
        <v>0</v>
      </c>
    </row>
    <row r="346" spans="1:9">
      <c r="A346">
        <v>1</v>
      </c>
      <c r="B346">
        <v>1</v>
      </c>
      <c r="C346">
        <v>106</v>
      </c>
      <c r="D346">
        <v>70</v>
      </c>
      <c r="E346">
        <v>28</v>
      </c>
      <c r="F346">
        <v>135</v>
      </c>
      <c r="G346">
        <v>34.200000000000003</v>
      </c>
      <c r="H346">
        <v>22</v>
      </c>
      <c r="I346">
        <v>0</v>
      </c>
    </row>
    <row r="347" spans="1:9">
      <c r="A347">
        <v>1</v>
      </c>
      <c r="B347">
        <v>2</v>
      </c>
      <c r="C347">
        <v>155</v>
      </c>
      <c r="D347">
        <v>52</v>
      </c>
      <c r="E347">
        <v>27</v>
      </c>
      <c r="F347">
        <v>540</v>
      </c>
      <c r="G347">
        <v>38.700000000000003</v>
      </c>
      <c r="H347">
        <v>25</v>
      </c>
      <c r="I347">
        <v>1</v>
      </c>
    </row>
    <row r="348" spans="1:9">
      <c r="A348">
        <v>1</v>
      </c>
      <c r="B348">
        <v>2</v>
      </c>
      <c r="C348">
        <v>101</v>
      </c>
      <c r="D348">
        <v>58</v>
      </c>
      <c r="E348">
        <v>35</v>
      </c>
      <c r="F348">
        <v>90</v>
      </c>
      <c r="G348">
        <v>21.8</v>
      </c>
      <c r="H348">
        <v>22</v>
      </c>
      <c r="I348">
        <v>0</v>
      </c>
    </row>
    <row r="349" spans="1:9">
      <c r="A349">
        <v>1</v>
      </c>
      <c r="B349">
        <v>1</v>
      </c>
      <c r="C349">
        <v>120</v>
      </c>
      <c r="D349">
        <v>80</v>
      </c>
      <c r="E349">
        <v>48</v>
      </c>
      <c r="F349">
        <v>200</v>
      </c>
      <c r="G349">
        <v>38.9</v>
      </c>
      <c r="H349">
        <v>41</v>
      </c>
      <c r="I349">
        <v>0</v>
      </c>
    </row>
    <row r="350" spans="1:9">
      <c r="A350">
        <v>1</v>
      </c>
      <c r="B350">
        <v>3</v>
      </c>
      <c r="C350">
        <v>80</v>
      </c>
      <c r="D350">
        <v>82</v>
      </c>
      <c r="E350">
        <v>31</v>
      </c>
      <c r="F350">
        <v>70</v>
      </c>
      <c r="G350">
        <v>34.200000000000003</v>
      </c>
      <c r="H350">
        <v>27</v>
      </c>
      <c r="I350">
        <v>1</v>
      </c>
    </row>
    <row r="351" spans="1:9">
      <c r="A351">
        <v>1</v>
      </c>
      <c r="B351">
        <v>8</v>
      </c>
      <c r="C351">
        <v>167</v>
      </c>
      <c r="D351">
        <v>106</v>
      </c>
      <c r="E351">
        <v>46</v>
      </c>
      <c r="F351">
        <v>231</v>
      </c>
      <c r="G351">
        <v>37.6</v>
      </c>
      <c r="H351">
        <v>43</v>
      </c>
      <c r="I351">
        <v>1</v>
      </c>
    </row>
    <row r="352" spans="1:9">
      <c r="A352">
        <v>1</v>
      </c>
      <c r="B352">
        <v>9</v>
      </c>
      <c r="C352">
        <v>145</v>
      </c>
      <c r="D352">
        <v>80</v>
      </c>
      <c r="E352">
        <v>46</v>
      </c>
      <c r="F352">
        <v>130</v>
      </c>
      <c r="G352">
        <v>37.9</v>
      </c>
      <c r="H352">
        <v>40</v>
      </c>
      <c r="I352">
        <v>1</v>
      </c>
    </row>
    <row r="353" spans="1:9">
      <c r="A353">
        <v>1</v>
      </c>
      <c r="B353">
        <v>1</v>
      </c>
      <c r="C353">
        <v>112</v>
      </c>
      <c r="D353">
        <v>80</v>
      </c>
      <c r="E353">
        <v>45</v>
      </c>
      <c r="F353">
        <v>132</v>
      </c>
      <c r="G353">
        <v>34.799999999999997</v>
      </c>
      <c r="H353">
        <v>24</v>
      </c>
      <c r="I353">
        <v>0</v>
      </c>
    </row>
    <row r="354" spans="1:9">
      <c r="A354">
        <v>1</v>
      </c>
      <c r="B354">
        <v>6</v>
      </c>
      <c r="C354">
        <v>98</v>
      </c>
      <c r="D354">
        <v>58</v>
      </c>
      <c r="E354">
        <v>33</v>
      </c>
      <c r="F354">
        <v>190</v>
      </c>
      <c r="G354">
        <v>34</v>
      </c>
      <c r="H354">
        <v>43</v>
      </c>
      <c r="I354">
        <v>0</v>
      </c>
    </row>
    <row r="355" spans="1:9">
      <c r="A355">
        <v>1</v>
      </c>
      <c r="B355">
        <v>9</v>
      </c>
      <c r="C355">
        <v>154</v>
      </c>
      <c r="D355">
        <v>78</v>
      </c>
      <c r="E355">
        <v>30</v>
      </c>
      <c r="F355">
        <v>100</v>
      </c>
      <c r="G355">
        <v>30.9</v>
      </c>
      <c r="H355">
        <v>45</v>
      </c>
      <c r="I355">
        <v>0</v>
      </c>
    </row>
    <row r="356" spans="1:9">
      <c r="A356">
        <v>1</v>
      </c>
      <c r="B356">
        <v>6</v>
      </c>
      <c r="C356">
        <v>165</v>
      </c>
      <c r="D356">
        <v>68</v>
      </c>
      <c r="E356">
        <v>26</v>
      </c>
      <c r="F356">
        <v>168</v>
      </c>
      <c r="G356">
        <v>33.6</v>
      </c>
      <c r="H356">
        <v>49</v>
      </c>
      <c r="I356">
        <v>0</v>
      </c>
    </row>
    <row r="357" spans="1:9">
      <c r="A357">
        <v>1</v>
      </c>
      <c r="B357">
        <v>10</v>
      </c>
      <c r="C357">
        <v>68</v>
      </c>
      <c r="D357">
        <v>106</v>
      </c>
      <c r="E357">
        <v>23</v>
      </c>
      <c r="F357">
        <v>49</v>
      </c>
      <c r="G357">
        <v>35.5</v>
      </c>
      <c r="H357">
        <v>47</v>
      </c>
      <c r="I357">
        <v>0</v>
      </c>
    </row>
    <row r="358" spans="1:9">
      <c r="A358">
        <v>1</v>
      </c>
      <c r="B358">
        <v>3</v>
      </c>
      <c r="C358">
        <v>123</v>
      </c>
      <c r="D358">
        <v>100</v>
      </c>
      <c r="E358">
        <v>35</v>
      </c>
      <c r="F358">
        <v>240</v>
      </c>
      <c r="G358">
        <v>57.3</v>
      </c>
      <c r="H358">
        <v>22</v>
      </c>
      <c r="I358">
        <v>0</v>
      </c>
    </row>
    <row r="359" spans="1:9">
      <c r="A359">
        <v>1</v>
      </c>
      <c r="B359">
        <v>2</v>
      </c>
      <c r="C359">
        <v>101</v>
      </c>
      <c r="D359">
        <v>58</v>
      </c>
      <c r="E359">
        <v>17</v>
      </c>
      <c r="F359">
        <v>265</v>
      </c>
      <c r="G359">
        <v>24.2</v>
      </c>
      <c r="H359">
        <v>23</v>
      </c>
      <c r="I359">
        <v>0</v>
      </c>
    </row>
    <row r="360" spans="1:9">
      <c r="A360">
        <v>1</v>
      </c>
      <c r="B360">
        <v>2</v>
      </c>
      <c r="C360">
        <v>56</v>
      </c>
      <c r="D360">
        <v>56</v>
      </c>
      <c r="E360">
        <v>28</v>
      </c>
      <c r="F360">
        <v>45</v>
      </c>
      <c r="G360">
        <v>24.2</v>
      </c>
      <c r="H360">
        <v>22</v>
      </c>
      <c r="I360">
        <v>0</v>
      </c>
    </row>
    <row r="361" spans="1:9">
      <c r="A361">
        <v>1</v>
      </c>
      <c r="B361">
        <v>0</v>
      </c>
      <c r="C361">
        <v>95</v>
      </c>
      <c r="D361">
        <v>64</v>
      </c>
      <c r="E361">
        <v>39</v>
      </c>
      <c r="F361">
        <v>105</v>
      </c>
      <c r="G361">
        <v>44.6</v>
      </c>
      <c r="H361">
        <v>22</v>
      </c>
      <c r="I361">
        <v>0</v>
      </c>
    </row>
    <row r="362" spans="1:9">
      <c r="A362">
        <v>1</v>
      </c>
      <c r="B362">
        <v>2</v>
      </c>
      <c r="C362">
        <v>129</v>
      </c>
      <c r="D362">
        <v>74</v>
      </c>
      <c r="E362">
        <v>26</v>
      </c>
      <c r="F362">
        <v>205</v>
      </c>
      <c r="G362">
        <v>33.200000000000003</v>
      </c>
      <c r="H362">
        <v>25</v>
      </c>
      <c r="I362">
        <v>0</v>
      </c>
    </row>
    <row r="363" spans="1:9">
      <c r="A363">
        <v>1</v>
      </c>
      <c r="B363">
        <v>1</v>
      </c>
      <c r="C363">
        <v>140</v>
      </c>
      <c r="D363">
        <v>74</v>
      </c>
      <c r="E363">
        <v>26</v>
      </c>
      <c r="F363">
        <v>180</v>
      </c>
      <c r="G363">
        <v>24.1</v>
      </c>
      <c r="H363">
        <v>23</v>
      </c>
      <c r="I363">
        <v>0</v>
      </c>
    </row>
    <row r="364" spans="1:9">
      <c r="A364">
        <v>1</v>
      </c>
      <c r="B364">
        <v>1</v>
      </c>
      <c r="C364">
        <v>144</v>
      </c>
      <c r="D364">
        <v>82</v>
      </c>
      <c r="E364">
        <v>46</v>
      </c>
      <c r="F364">
        <v>180</v>
      </c>
      <c r="G364">
        <v>46.1</v>
      </c>
      <c r="H364">
        <v>46</v>
      </c>
      <c r="I364">
        <v>1</v>
      </c>
    </row>
    <row r="365" spans="1:9">
      <c r="A365">
        <v>1</v>
      </c>
      <c r="B365">
        <v>2</v>
      </c>
      <c r="C365">
        <v>121</v>
      </c>
      <c r="D365">
        <v>70</v>
      </c>
      <c r="E365">
        <v>32</v>
      </c>
      <c r="F365">
        <v>95</v>
      </c>
      <c r="G365">
        <v>39.1</v>
      </c>
      <c r="H365">
        <v>23</v>
      </c>
      <c r="I365">
        <v>0</v>
      </c>
    </row>
    <row r="366" spans="1:9">
      <c r="A366">
        <v>1</v>
      </c>
      <c r="B366">
        <v>7</v>
      </c>
      <c r="C366">
        <v>129</v>
      </c>
      <c r="D366">
        <v>68</v>
      </c>
      <c r="E366">
        <v>49</v>
      </c>
      <c r="F366">
        <v>125</v>
      </c>
      <c r="G366">
        <v>38.5</v>
      </c>
      <c r="H366">
        <v>43</v>
      </c>
      <c r="I366">
        <v>1</v>
      </c>
    </row>
    <row r="367" spans="1:9">
      <c r="A367">
        <v>1</v>
      </c>
      <c r="B367">
        <v>7</v>
      </c>
      <c r="C367">
        <v>142</v>
      </c>
      <c r="D367">
        <v>90</v>
      </c>
      <c r="E367">
        <v>24</v>
      </c>
      <c r="F367">
        <v>480</v>
      </c>
      <c r="G367">
        <v>30.4</v>
      </c>
      <c r="H367">
        <v>43</v>
      </c>
      <c r="I367">
        <v>1</v>
      </c>
    </row>
    <row r="368" spans="1:9">
      <c r="A368">
        <v>1</v>
      </c>
      <c r="B368">
        <v>3</v>
      </c>
      <c r="C368">
        <v>169</v>
      </c>
      <c r="D368">
        <v>74</v>
      </c>
      <c r="E368">
        <v>19</v>
      </c>
      <c r="F368">
        <v>125</v>
      </c>
      <c r="G368">
        <v>29.9</v>
      </c>
      <c r="H368">
        <v>31</v>
      </c>
      <c r="I368">
        <v>1</v>
      </c>
    </row>
    <row r="369" spans="1:9">
      <c r="A369">
        <v>1</v>
      </c>
      <c r="B369">
        <v>4</v>
      </c>
      <c r="C369">
        <v>127</v>
      </c>
      <c r="D369">
        <v>88</v>
      </c>
      <c r="E369">
        <v>11</v>
      </c>
      <c r="F369">
        <v>155</v>
      </c>
      <c r="G369">
        <v>34.5</v>
      </c>
      <c r="H369">
        <v>28</v>
      </c>
      <c r="I369">
        <v>0</v>
      </c>
    </row>
    <row r="370" spans="1:9">
      <c r="A370">
        <v>1</v>
      </c>
      <c r="B370">
        <v>2</v>
      </c>
      <c r="C370">
        <v>122</v>
      </c>
      <c r="D370">
        <v>76</v>
      </c>
      <c r="E370">
        <v>27</v>
      </c>
      <c r="F370">
        <v>200</v>
      </c>
      <c r="G370">
        <v>35.9</v>
      </c>
      <c r="H370">
        <v>26</v>
      </c>
      <c r="I370">
        <v>0</v>
      </c>
    </row>
    <row r="371" spans="1:9">
      <c r="A371">
        <v>1</v>
      </c>
      <c r="B371">
        <v>4</v>
      </c>
      <c r="C371">
        <v>110</v>
      </c>
      <c r="D371">
        <v>76</v>
      </c>
      <c r="E371">
        <v>20</v>
      </c>
      <c r="F371">
        <v>100</v>
      </c>
      <c r="G371">
        <v>28.4</v>
      </c>
      <c r="H371">
        <v>27</v>
      </c>
      <c r="I371">
        <v>0</v>
      </c>
    </row>
    <row r="372" spans="1:9">
      <c r="A372">
        <v>1</v>
      </c>
      <c r="B372">
        <v>2</v>
      </c>
      <c r="C372">
        <v>127</v>
      </c>
      <c r="D372">
        <v>46</v>
      </c>
      <c r="E372">
        <v>21</v>
      </c>
      <c r="F372">
        <v>335</v>
      </c>
      <c r="G372">
        <v>34.4</v>
      </c>
      <c r="H372">
        <v>22</v>
      </c>
      <c r="I372">
        <v>0</v>
      </c>
    </row>
    <row r="373" spans="1:9">
      <c r="A373">
        <v>1</v>
      </c>
      <c r="B373">
        <v>2</v>
      </c>
      <c r="C373">
        <v>93</v>
      </c>
      <c r="D373">
        <v>64</v>
      </c>
      <c r="E373">
        <v>32</v>
      </c>
      <c r="F373">
        <v>160</v>
      </c>
      <c r="G373">
        <v>38</v>
      </c>
      <c r="H373">
        <v>23</v>
      </c>
      <c r="I373">
        <v>1</v>
      </c>
    </row>
    <row r="374" spans="1:9">
      <c r="A374">
        <v>1</v>
      </c>
      <c r="B374">
        <v>3</v>
      </c>
      <c r="C374">
        <v>158</v>
      </c>
      <c r="D374">
        <v>64</v>
      </c>
      <c r="E374">
        <v>13</v>
      </c>
      <c r="F374">
        <v>387</v>
      </c>
      <c r="G374">
        <v>31.2</v>
      </c>
      <c r="H374">
        <v>24</v>
      </c>
      <c r="I374">
        <v>0</v>
      </c>
    </row>
    <row r="375" spans="1:9">
      <c r="A375">
        <v>1</v>
      </c>
      <c r="B375">
        <v>5</v>
      </c>
      <c r="C375">
        <v>126</v>
      </c>
      <c r="D375">
        <v>78</v>
      </c>
      <c r="E375">
        <v>27</v>
      </c>
      <c r="F375">
        <v>22</v>
      </c>
      <c r="G375">
        <v>29.6</v>
      </c>
      <c r="H375">
        <v>40</v>
      </c>
      <c r="I375">
        <v>0</v>
      </c>
    </row>
    <row r="376" spans="1:9">
      <c r="A376">
        <v>1</v>
      </c>
      <c r="B376">
        <v>0</v>
      </c>
      <c r="C376">
        <v>134</v>
      </c>
      <c r="D376">
        <v>58</v>
      </c>
      <c r="E376">
        <v>20</v>
      </c>
      <c r="F376">
        <v>291</v>
      </c>
      <c r="G376">
        <v>26.4</v>
      </c>
      <c r="H376">
        <v>21</v>
      </c>
      <c r="I376">
        <v>0</v>
      </c>
    </row>
    <row r="377" spans="1:9">
      <c r="A377">
        <v>1</v>
      </c>
      <c r="B377">
        <v>7</v>
      </c>
      <c r="C377">
        <v>187</v>
      </c>
      <c r="D377">
        <v>50</v>
      </c>
      <c r="E377">
        <v>33</v>
      </c>
      <c r="F377">
        <v>392</v>
      </c>
      <c r="G377">
        <v>33.9</v>
      </c>
      <c r="H377">
        <v>34</v>
      </c>
      <c r="I377">
        <v>1</v>
      </c>
    </row>
    <row r="378" spans="1:9">
      <c r="A378">
        <v>1</v>
      </c>
      <c r="B378">
        <v>3</v>
      </c>
      <c r="C378">
        <v>173</v>
      </c>
      <c r="D378">
        <v>78</v>
      </c>
      <c r="E378">
        <v>39</v>
      </c>
      <c r="F378">
        <v>185</v>
      </c>
      <c r="G378">
        <v>33.799999999999997</v>
      </c>
      <c r="H378">
        <v>31</v>
      </c>
      <c r="I378">
        <v>1</v>
      </c>
    </row>
    <row r="379" spans="1:9">
      <c r="A379">
        <v>1</v>
      </c>
      <c r="B379">
        <v>1</v>
      </c>
      <c r="C379">
        <v>108</v>
      </c>
      <c r="D379">
        <v>60</v>
      </c>
      <c r="E379">
        <v>46</v>
      </c>
      <c r="F379">
        <v>178</v>
      </c>
      <c r="G379">
        <v>35.5</v>
      </c>
      <c r="H379">
        <v>24</v>
      </c>
      <c r="I379">
        <v>0</v>
      </c>
    </row>
    <row r="380" spans="1:9">
      <c r="A380">
        <v>1</v>
      </c>
      <c r="B380">
        <v>1</v>
      </c>
      <c r="C380">
        <v>114</v>
      </c>
      <c r="D380">
        <v>66</v>
      </c>
      <c r="E380">
        <v>36</v>
      </c>
      <c r="F380">
        <v>200</v>
      </c>
      <c r="G380">
        <v>38.1</v>
      </c>
      <c r="H380">
        <v>21</v>
      </c>
      <c r="I380">
        <v>0</v>
      </c>
    </row>
    <row r="381" spans="1:9">
      <c r="A381">
        <v>1</v>
      </c>
      <c r="B381">
        <v>1</v>
      </c>
      <c r="C381">
        <v>149</v>
      </c>
      <c r="D381">
        <v>68</v>
      </c>
      <c r="E381">
        <v>29</v>
      </c>
      <c r="F381">
        <v>127</v>
      </c>
      <c r="G381">
        <v>29.3</v>
      </c>
      <c r="H381">
        <v>42</v>
      </c>
      <c r="I381">
        <v>1</v>
      </c>
    </row>
    <row r="382" spans="1:9">
      <c r="A382">
        <v>1</v>
      </c>
      <c r="B382">
        <v>5</v>
      </c>
      <c r="C382">
        <v>117</v>
      </c>
      <c r="D382">
        <v>86</v>
      </c>
      <c r="E382">
        <v>30</v>
      </c>
      <c r="F382">
        <v>105</v>
      </c>
      <c r="G382">
        <v>39.1</v>
      </c>
      <c r="H382">
        <v>42</v>
      </c>
      <c r="I382">
        <v>0</v>
      </c>
    </row>
    <row r="383" spans="1:9">
      <c r="A383">
        <v>1</v>
      </c>
      <c r="B383">
        <v>1</v>
      </c>
      <c r="C383">
        <v>116</v>
      </c>
      <c r="D383">
        <v>78</v>
      </c>
      <c r="E383">
        <v>29</v>
      </c>
      <c r="F383">
        <v>180</v>
      </c>
      <c r="G383">
        <v>36.1</v>
      </c>
      <c r="H383">
        <v>25</v>
      </c>
      <c r="I383">
        <v>0</v>
      </c>
    </row>
    <row r="384" spans="1:9">
      <c r="A384">
        <v>1</v>
      </c>
      <c r="B384">
        <v>3</v>
      </c>
      <c r="C384">
        <v>130</v>
      </c>
      <c r="D384">
        <v>78</v>
      </c>
      <c r="E384">
        <v>23</v>
      </c>
      <c r="F384">
        <v>79</v>
      </c>
      <c r="G384">
        <v>28.4</v>
      </c>
      <c r="H384">
        <v>34</v>
      </c>
      <c r="I384">
        <v>1</v>
      </c>
    </row>
    <row r="385" spans="1:9">
      <c r="A385">
        <v>1</v>
      </c>
      <c r="B385">
        <v>2</v>
      </c>
      <c r="C385">
        <v>174</v>
      </c>
      <c r="D385">
        <v>88</v>
      </c>
      <c r="E385">
        <v>37</v>
      </c>
      <c r="F385">
        <v>120</v>
      </c>
      <c r="G385">
        <v>44.5</v>
      </c>
      <c r="H385">
        <v>24</v>
      </c>
      <c r="I385">
        <v>1</v>
      </c>
    </row>
    <row r="386" spans="1:9">
      <c r="A386">
        <v>1</v>
      </c>
      <c r="B386">
        <v>2</v>
      </c>
      <c r="C386">
        <v>106</v>
      </c>
      <c r="D386">
        <v>56</v>
      </c>
      <c r="E386">
        <v>27</v>
      </c>
      <c r="F386">
        <v>165</v>
      </c>
      <c r="G386">
        <v>29</v>
      </c>
      <c r="H386">
        <v>22</v>
      </c>
      <c r="I386">
        <v>0</v>
      </c>
    </row>
    <row r="387" spans="1:9">
      <c r="A387">
        <v>1</v>
      </c>
      <c r="B387">
        <v>0</v>
      </c>
      <c r="C387">
        <v>126</v>
      </c>
      <c r="D387">
        <v>86</v>
      </c>
      <c r="E387">
        <v>27</v>
      </c>
      <c r="F387">
        <v>120</v>
      </c>
      <c r="G387">
        <v>27.4</v>
      </c>
      <c r="H387">
        <v>21</v>
      </c>
      <c r="I387">
        <v>0</v>
      </c>
    </row>
    <row r="388" spans="1:9">
      <c r="A388">
        <v>1</v>
      </c>
      <c r="B388">
        <v>2</v>
      </c>
      <c r="C388">
        <v>99</v>
      </c>
      <c r="D388">
        <v>60</v>
      </c>
      <c r="E388">
        <v>17</v>
      </c>
      <c r="F388">
        <v>160</v>
      </c>
      <c r="G388">
        <v>36.6</v>
      </c>
      <c r="H388">
        <v>21</v>
      </c>
      <c r="I388">
        <v>0</v>
      </c>
    </row>
    <row r="389" spans="1:9">
      <c r="A389">
        <v>1</v>
      </c>
      <c r="B389">
        <v>11</v>
      </c>
      <c r="C389">
        <v>120</v>
      </c>
      <c r="D389">
        <v>80</v>
      </c>
      <c r="E389">
        <v>37</v>
      </c>
      <c r="F389">
        <v>150</v>
      </c>
      <c r="G389">
        <v>42.3</v>
      </c>
      <c r="H389">
        <v>48</v>
      </c>
      <c r="I389">
        <v>1</v>
      </c>
    </row>
    <row r="390" spans="1:9">
      <c r="A390">
        <v>1</v>
      </c>
      <c r="B390">
        <v>3</v>
      </c>
      <c r="C390">
        <v>102</v>
      </c>
      <c r="D390">
        <v>44</v>
      </c>
      <c r="E390">
        <v>20</v>
      </c>
      <c r="F390">
        <v>94</v>
      </c>
      <c r="G390">
        <v>30.8</v>
      </c>
      <c r="H390">
        <v>26</v>
      </c>
      <c r="I390">
        <v>0</v>
      </c>
    </row>
    <row r="391" spans="1:9">
      <c r="A391">
        <v>1</v>
      </c>
      <c r="B391">
        <v>1</v>
      </c>
      <c r="C391">
        <v>109</v>
      </c>
      <c r="D391">
        <v>58</v>
      </c>
      <c r="E391">
        <v>18</v>
      </c>
      <c r="F391">
        <v>116</v>
      </c>
      <c r="G391">
        <v>28.5</v>
      </c>
      <c r="H391">
        <v>22</v>
      </c>
      <c r="I391">
        <v>0</v>
      </c>
    </row>
    <row r="392" spans="1:9">
      <c r="A392">
        <v>1</v>
      </c>
      <c r="B392">
        <v>13</v>
      </c>
      <c r="C392">
        <v>153</v>
      </c>
      <c r="D392">
        <v>88</v>
      </c>
      <c r="E392">
        <v>37</v>
      </c>
      <c r="F392">
        <v>140</v>
      </c>
      <c r="G392">
        <v>40.6</v>
      </c>
      <c r="H392">
        <v>39</v>
      </c>
      <c r="I392">
        <v>0</v>
      </c>
    </row>
    <row r="393" spans="1:9">
      <c r="A393">
        <v>1</v>
      </c>
      <c r="B393">
        <v>12</v>
      </c>
      <c r="C393">
        <v>100</v>
      </c>
      <c r="D393">
        <v>84</v>
      </c>
      <c r="E393">
        <v>33</v>
      </c>
      <c r="F393">
        <v>105</v>
      </c>
      <c r="G393">
        <v>30</v>
      </c>
      <c r="H393">
        <v>46</v>
      </c>
      <c r="I393">
        <v>0</v>
      </c>
    </row>
    <row r="394" spans="1:9">
      <c r="A394">
        <v>1</v>
      </c>
      <c r="B394">
        <v>1</v>
      </c>
      <c r="C394">
        <v>81</v>
      </c>
      <c r="D394">
        <v>74</v>
      </c>
      <c r="E394">
        <v>41</v>
      </c>
      <c r="F394">
        <v>57</v>
      </c>
      <c r="G394">
        <v>46.3</v>
      </c>
      <c r="H394">
        <v>32</v>
      </c>
      <c r="I394">
        <v>0</v>
      </c>
    </row>
    <row r="395" spans="1:9">
      <c r="A395">
        <v>1</v>
      </c>
      <c r="B395">
        <v>3</v>
      </c>
      <c r="C395">
        <v>187</v>
      </c>
      <c r="D395">
        <v>70</v>
      </c>
      <c r="E395">
        <v>22</v>
      </c>
      <c r="F395">
        <v>200</v>
      </c>
      <c r="G395">
        <v>36.4</v>
      </c>
      <c r="H395">
        <v>36</v>
      </c>
      <c r="I395">
        <v>1</v>
      </c>
    </row>
    <row r="396" spans="1:9">
      <c r="A396">
        <v>1</v>
      </c>
      <c r="B396">
        <v>1</v>
      </c>
      <c r="C396">
        <v>121</v>
      </c>
      <c r="D396">
        <v>78</v>
      </c>
      <c r="E396">
        <v>39</v>
      </c>
      <c r="F396">
        <v>74</v>
      </c>
      <c r="G396">
        <v>39</v>
      </c>
      <c r="H396">
        <v>28</v>
      </c>
      <c r="I396">
        <v>0</v>
      </c>
    </row>
    <row r="397" spans="1:9">
      <c r="A397">
        <v>1</v>
      </c>
      <c r="B397">
        <v>0</v>
      </c>
      <c r="C397">
        <v>181</v>
      </c>
      <c r="D397">
        <v>88</v>
      </c>
      <c r="E397">
        <v>44</v>
      </c>
      <c r="F397">
        <v>510</v>
      </c>
      <c r="G397">
        <v>43.3</v>
      </c>
      <c r="H397">
        <v>26</v>
      </c>
      <c r="I397">
        <v>1</v>
      </c>
    </row>
    <row r="398" spans="1:9">
      <c r="A398">
        <v>1</v>
      </c>
      <c r="B398">
        <v>1</v>
      </c>
      <c r="C398">
        <v>128</v>
      </c>
      <c r="D398">
        <v>88</v>
      </c>
      <c r="E398">
        <v>39</v>
      </c>
      <c r="F398">
        <v>110</v>
      </c>
      <c r="G398">
        <v>36.5</v>
      </c>
      <c r="H398">
        <v>37</v>
      </c>
      <c r="I398">
        <v>1</v>
      </c>
    </row>
    <row r="399" spans="1:9">
      <c r="A399">
        <v>1</v>
      </c>
      <c r="B399">
        <v>2</v>
      </c>
      <c r="C399">
        <v>88</v>
      </c>
      <c r="D399">
        <v>58</v>
      </c>
      <c r="E399">
        <v>26</v>
      </c>
      <c r="F399">
        <v>16</v>
      </c>
      <c r="G399">
        <v>28.4</v>
      </c>
      <c r="H399">
        <v>22</v>
      </c>
      <c r="I399">
        <v>0</v>
      </c>
    </row>
    <row r="400" spans="1:9">
      <c r="A400">
        <v>1</v>
      </c>
      <c r="B400">
        <v>10</v>
      </c>
      <c r="C400">
        <v>101</v>
      </c>
      <c r="D400">
        <v>76</v>
      </c>
      <c r="E400">
        <v>48</v>
      </c>
      <c r="F400">
        <v>180</v>
      </c>
      <c r="G400">
        <v>32.9</v>
      </c>
      <c r="H400">
        <v>63</v>
      </c>
      <c r="I400">
        <v>0</v>
      </c>
    </row>
    <row r="401" spans="1:9">
      <c r="A401">
        <v>1</v>
      </c>
      <c r="B401">
        <v>5</v>
      </c>
      <c r="C401">
        <v>121</v>
      </c>
      <c r="D401">
        <v>72</v>
      </c>
      <c r="E401">
        <v>23</v>
      </c>
      <c r="F401">
        <v>112</v>
      </c>
      <c r="G401">
        <v>26.2</v>
      </c>
      <c r="H401">
        <v>30</v>
      </c>
      <c r="I401">
        <v>0</v>
      </c>
    </row>
  </sheetData>
  <mergeCells count="1">
    <mergeCell ref="K18:R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Logistic_Regression</vt:lpstr>
      <vt:lpstr>calculate_coefficients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Rafi Shaik</cp:lastModifiedBy>
  <dcterms:created xsi:type="dcterms:W3CDTF">2015-06-05T18:17:20Z</dcterms:created>
  <dcterms:modified xsi:type="dcterms:W3CDTF">2025-03-05T09:54:23Z</dcterms:modified>
</cp:coreProperties>
</file>